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X\Desktop\"/>
    </mc:Choice>
  </mc:AlternateContent>
  <xr:revisionPtr revIDLastSave="0" documentId="13_ncr:1_{C27270E7-C964-4D2B-8539-A9801B9E9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Sales Summary " sheetId="3" r:id="rId2"/>
  </sheets>
  <definedNames>
    <definedName name="_xlnm._FilterDatabase" localSheetId="0" hidden="1">Sales!$A$7:$P$207</definedName>
  </definedNames>
  <calcPr calcId="191029" concurrentCalc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6" i="1" l="1"/>
  <c r="P162" i="1"/>
  <c r="P52" i="1"/>
  <c r="P42" i="1"/>
  <c r="P178" i="1"/>
  <c r="P154" i="1"/>
  <c r="P113" i="1"/>
  <c r="P185" i="1"/>
  <c r="P60" i="1"/>
  <c r="P34" i="1"/>
  <c r="P130" i="1"/>
  <c r="P80" i="1"/>
  <c r="P144" i="1"/>
  <c r="P134" i="1"/>
  <c r="P104" i="1"/>
  <c r="P45" i="1"/>
  <c r="P58" i="1"/>
  <c r="P174" i="1"/>
  <c r="P12" i="1"/>
  <c r="P86" i="1"/>
  <c r="P68" i="1"/>
  <c r="P35" i="1"/>
  <c r="P27" i="1"/>
  <c r="P78" i="1"/>
  <c r="P145" i="1"/>
  <c r="P30" i="1"/>
  <c r="P81" i="1"/>
  <c r="P89" i="1"/>
  <c r="P165" i="1"/>
  <c r="P169" i="1"/>
  <c r="P183" i="1"/>
  <c r="P25" i="1"/>
  <c r="P198" i="1"/>
  <c r="P161" i="1"/>
  <c r="P36" i="1"/>
  <c r="P69" i="1"/>
  <c r="P44" i="1"/>
  <c r="P21" i="1"/>
  <c r="P66" i="1"/>
  <c r="P43" i="1"/>
  <c r="P50" i="1"/>
  <c r="P163" i="1"/>
  <c r="P207" i="1"/>
  <c r="P9" i="1"/>
  <c r="P160" i="1"/>
  <c r="P100" i="1"/>
  <c r="P63" i="1"/>
  <c r="P51" i="1"/>
  <c r="P192" i="1"/>
  <c r="P180" i="1"/>
  <c r="P166" i="1"/>
  <c r="P10" i="1"/>
  <c r="P8" i="1"/>
  <c r="P121" i="1"/>
  <c r="P111" i="1"/>
  <c r="P102" i="1"/>
  <c r="P125" i="1"/>
  <c r="P18" i="1"/>
  <c r="P139" i="1"/>
  <c r="P39" i="1"/>
  <c r="P155" i="1"/>
  <c r="P170" i="1"/>
  <c r="P182" i="1"/>
  <c r="P73" i="1"/>
  <c r="P90" i="1"/>
  <c r="P124" i="1"/>
  <c r="P107" i="1"/>
  <c r="P123" i="1"/>
  <c r="P197" i="1"/>
  <c r="P28" i="1"/>
  <c r="P179" i="1"/>
  <c r="P53" i="1"/>
  <c r="P168" i="1"/>
  <c r="P135" i="1"/>
  <c r="P164" i="1"/>
  <c r="P88" i="1"/>
  <c r="P172" i="1"/>
  <c r="P115" i="1"/>
  <c r="P46" i="1"/>
  <c r="P108" i="1"/>
  <c r="P19" i="1"/>
  <c r="P14" i="1"/>
  <c r="P153" i="1"/>
  <c r="P17" i="1"/>
  <c r="P177" i="1"/>
  <c r="P83" i="1"/>
  <c r="P65" i="1"/>
  <c r="P114" i="1"/>
  <c r="P22" i="1"/>
  <c r="P200" i="1"/>
  <c r="P91" i="1"/>
  <c r="P93" i="1"/>
  <c r="P106" i="1"/>
  <c r="P128" i="1"/>
  <c r="P96" i="1"/>
  <c r="P116" i="1"/>
  <c r="P11" i="1"/>
  <c r="P201" i="1"/>
  <c r="P98" i="1"/>
  <c r="P32" i="1"/>
  <c r="P112" i="1"/>
  <c r="P142" i="1"/>
  <c r="P159" i="1"/>
  <c r="P143" i="1"/>
  <c r="P16" i="1"/>
  <c r="P59" i="1"/>
  <c r="P158" i="1"/>
  <c r="P75" i="1"/>
  <c r="P191" i="1"/>
  <c r="P29" i="1"/>
  <c r="P152" i="1"/>
  <c r="P99" i="1"/>
  <c r="P141" i="1"/>
  <c r="P186" i="1"/>
  <c r="P41" i="1"/>
  <c r="P49" i="1"/>
  <c r="P122" i="1"/>
  <c r="P95" i="1"/>
  <c r="P131" i="1"/>
  <c r="P119" i="1"/>
  <c r="P204" i="1"/>
  <c r="P195" i="1"/>
  <c r="P24" i="1"/>
  <c r="P167" i="1"/>
  <c r="P38" i="1"/>
  <c r="P87" i="1"/>
  <c r="P202" i="1"/>
  <c r="P103" i="1"/>
  <c r="P190" i="1"/>
  <c r="P70" i="1"/>
  <c r="P137" i="1"/>
  <c r="P132" i="1"/>
  <c r="P173" i="1"/>
  <c r="P97" i="1"/>
  <c r="P149" i="1"/>
  <c r="P94" i="1"/>
  <c r="P171" i="1"/>
  <c r="P101" i="1"/>
  <c r="P136" i="1"/>
  <c r="P194" i="1"/>
  <c r="P196" i="1"/>
  <c r="P205" i="1"/>
  <c r="P120" i="1"/>
  <c r="P48" i="1"/>
  <c r="P151" i="1"/>
  <c r="P76" i="1"/>
  <c r="P148" i="1"/>
  <c r="P105" i="1"/>
  <c r="P26" i="1"/>
  <c r="P203" i="1"/>
  <c r="P146" i="1"/>
  <c r="P31" i="1"/>
  <c r="P129" i="1"/>
  <c r="P181" i="1"/>
  <c r="P54" i="1"/>
  <c r="P37" i="1"/>
  <c r="P67" i="1"/>
  <c r="P193" i="1"/>
  <c r="P175" i="1"/>
  <c r="P157" i="1"/>
  <c r="P187" i="1"/>
  <c r="P23" i="1"/>
  <c r="P13" i="1"/>
  <c r="P84" i="1"/>
  <c r="P156" i="1"/>
  <c r="P117" i="1"/>
  <c r="P118" i="1"/>
  <c r="P72" i="1"/>
  <c r="P20" i="1"/>
  <c r="P62" i="1"/>
  <c r="P85" i="1"/>
  <c r="P61" i="1"/>
  <c r="P79" i="1"/>
  <c r="P56" i="1"/>
  <c r="P74" i="1"/>
  <c r="P199" i="1"/>
  <c r="P55" i="1"/>
  <c r="P57" i="1"/>
  <c r="P147" i="1"/>
  <c r="P92" i="1"/>
  <c r="P77" i="1"/>
  <c r="P184" i="1"/>
  <c r="P150" i="1"/>
  <c r="P109" i="1"/>
  <c r="P33" i="1"/>
  <c r="P206" i="1"/>
  <c r="P140" i="1"/>
  <c r="P110" i="1"/>
  <c r="P71" i="1"/>
  <c r="P64" i="1"/>
  <c r="P133" i="1"/>
  <c r="P188" i="1"/>
  <c r="P47" i="1"/>
  <c r="P176" i="1"/>
  <c r="P40" i="1"/>
  <c r="P127" i="1"/>
  <c r="P189" i="1"/>
  <c r="P15" i="1"/>
  <c r="P82" i="1"/>
  <c r="P138" i="1"/>
  <c r="K126" i="1"/>
  <c r="K162" i="1"/>
  <c r="K52" i="1"/>
  <c r="K42" i="1"/>
  <c r="K178" i="1"/>
  <c r="K154" i="1"/>
  <c r="K113" i="1"/>
  <c r="K185" i="1"/>
  <c r="K60" i="1"/>
  <c r="K34" i="1"/>
  <c r="K130" i="1"/>
  <c r="K80" i="1"/>
  <c r="K144" i="1"/>
  <c r="K134" i="1"/>
  <c r="K104" i="1"/>
  <c r="K45" i="1"/>
  <c r="K58" i="1"/>
  <c r="K174" i="1"/>
  <c r="K12" i="1"/>
  <c r="K86" i="1"/>
  <c r="K68" i="1"/>
  <c r="K35" i="1"/>
  <c r="K27" i="1"/>
  <c r="K78" i="1"/>
  <c r="K145" i="1"/>
  <c r="K30" i="1"/>
  <c r="K81" i="1"/>
  <c r="K89" i="1"/>
  <c r="K165" i="1"/>
  <c r="K169" i="1"/>
  <c r="K183" i="1"/>
  <c r="K25" i="1"/>
  <c r="K198" i="1"/>
  <c r="K161" i="1"/>
  <c r="K36" i="1"/>
  <c r="K69" i="1"/>
  <c r="K44" i="1"/>
  <c r="K21" i="1"/>
  <c r="K66" i="1"/>
  <c r="K43" i="1"/>
  <c r="K50" i="1"/>
  <c r="K163" i="1"/>
  <c r="K207" i="1"/>
  <c r="K9" i="1"/>
  <c r="K160" i="1"/>
  <c r="K100" i="1"/>
  <c r="K63" i="1"/>
  <c r="K51" i="1"/>
  <c r="K192" i="1"/>
  <c r="K180" i="1"/>
  <c r="K166" i="1"/>
  <c r="K10" i="1"/>
  <c r="K8" i="1"/>
  <c r="K121" i="1"/>
  <c r="K111" i="1"/>
  <c r="K102" i="1"/>
  <c r="K125" i="1"/>
  <c r="K18" i="1"/>
  <c r="K139" i="1"/>
  <c r="K39" i="1"/>
  <c r="K155" i="1"/>
  <c r="K170" i="1"/>
  <c r="K182" i="1"/>
  <c r="K73" i="1"/>
  <c r="K90" i="1"/>
  <c r="K124" i="1"/>
  <c r="K107" i="1"/>
  <c r="K123" i="1"/>
  <c r="K197" i="1"/>
  <c r="K28" i="1"/>
  <c r="K179" i="1"/>
  <c r="K53" i="1"/>
  <c r="K168" i="1"/>
  <c r="K135" i="1"/>
  <c r="K164" i="1"/>
  <c r="K88" i="1"/>
  <c r="K172" i="1"/>
  <c r="K115" i="1"/>
  <c r="K46" i="1"/>
  <c r="K108" i="1"/>
  <c r="K19" i="1"/>
  <c r="K14" i="1"/>
  <c r="K153" i="1"/>
  <c r="K17" i="1"/>
  <c r="K177" i="1"/>
  <c r="K83" i="1"/>
  <c r="K65" i="1"/>
  <c r="K114" i="1"/>
  <c r="K22" i="1"/>
  <c r="K200" i="1"/>
  <c r="K91" i="1"/>
  <c r="K93" i="1"/>
  <c r="K106" i="1"/>
  <c r="K128" i="1"/>
  <c r="K96" i="1"/>
  <c r="K116" i="1"/>
  <c r="K11" i="1"/>
  <c r="K201" i="1"/>
  <c r="K98" i="1"/>
  <c r="K32" i="1"/>
  <c r="K112" i="1"/>
  <c r="K142" i="1"/>
  <c r="K159" i="1"/>
  <c r="K143" i="1"/>
  <c r="K16" i="1"/>
  <c r="K59" i="1"/>
  <c r="K158" i="1"/>
  <c r="K75" i="1"/>
  <c r="K191" i="1"/>
  <c r="K29" i="1"/>
  <c r="K152" i="1"/>
  <c r="K99" i="1"/>
  <c r="K141" i="1"/>
  <c r="K186" i="1"/>
  <c r="K41" i="1"/>
  <c r="K49" i="1"/>
  <c r="K122" i="1"/>
  <c r="K95" i="1"/>
  <c r="K131" i="1"/>
  <c r="K119" i="1"/>
  <c r="K204" i="1"/>
  <c r="K195" i="1"/>
  <c r="K24" i="1"/>
  <c r="K167" i="1"/>
  <c r="K38" i="1"/>
  <c r="K87" i="1"/>
  <c r="K202" i="1"/>
  <c r="K103" i="1"/>
  <c r="K190" i="1"/>
  <c r="K70" i="1"/>
  <c r="K137" i="1"/>
  <c r="K132" i="1"/>
  <c r="K173" i="1"/>
  <c r="K97" i="1"/>
  <c r="K149" i="1"/>
  <c r="K94" i="1"/>
  <c r="K171" i="1"/>
  <c r="K101" i="1"/>
  <c r="K136" i="1"/>
  <c r="K194" i="1"/>
  <c r="K196" i="1"/>
  <c r="K205" i="1"/>
  <c r="K120" i="1"/>
  <c r="K48" i="1"/>
  <c r="K151" i="1"/>
  <c r="K76" i="1"/>
  <c r="K148" i="1"/>
  <c r="K105" i="1"/>
  <c r="K26" i="1"/>
  <c r="K203" i="1"/>
  <c r="K146" i="1"/>
  <c r="K31" i="1"/>
  <c r="K129" i="1"/>
  <c r="K181" i="1"/>
  <c r="K54" i="1"/>
  <c r="K37" i="1"/>
  <c r="K67" i="1"/>
  <c r="K193" i="1"/>
  <c r="K175" i="1"/>
  <c r="K157" i="1"/>
  <c r="K187" i="1"/>
  <c r="K23" i="1"/>
  <c r="K13" i="1"/>
  <c r="K84" i="1"/>
  <c r="K156" i="1"/>
  <c r="K117" i="1"/>
  <c r="K118" i="1"/>
  <c r="K72" i="1"/>
  <c r="K20" i="1"/>
  <c r="K62" i="1"/>
  <c r="K85" i="1"/>
  <c r="K61" i="1"/>
  <c r="K79" i="1"/>
  <c r="K56" i="1"/>
  <c r="K74" i="1"/>
  <c r="K199" i="1"/>
  <c r="K55" i="1"/>
  <c r="K57" i="1"/>
  <c r="K147" i="1"/>
  <c r="K92" i="1"/>
  <c r="K77" i="1"/>
  <c r="K184" i="1"/>
  <c r="K150" i="1"/>
  <c r="K109" i="1"/>
  <c r="K33" i="1"/>
  <c r="K206" i="1"/>
  <c r="K140" i="1"/>
  <c r="K110" i="1"/>
  <c r="K71" i="1"/>
  <c r="K64" i="1"/>
  <c r="K133" i="1"/>
  <c r="K188" i="1"/>
  <c r="K47" i="1"/>
  <c r="K176" i="1"/>
  <c r="K40" i="1"/>
  <c r="K127" i="1"/>
  <c r="K189" i="1"/>
  <c r="K15" i="1"/>
  <c r="K82" i="1"/>
  <c r="K138" i="1"/>
  <c r="O126" i="1"/>
  <c r="O162" i="1"/>
  <c r="O52" i="1"/>
  <c r="O42" i="1"/>
  <c r="O178" i="1"/>
  <c r="O154" i="1"/>
  <c r="O113" i="1"/>
  <c r="O185" i="1"/>
  <c r="O60" i="1"/>
  <c r="O34" i="1"/>
  <c r="O130" i="1"/>
  <c r="O80" i="1"/>
  <c r="O144" i="1"/>
  <c r="O134" i="1"/>
  <c r="O104" i="1"/>
  <c r="O45" i="1"/>
  <c r="O58" i="1"/>
  <c r="O174" i="1"/>
  <c r="O12" i="1"/>
  <c r="O86" i="1"/>
  <c r="O68" i="1"/>
  <c r="O35" i="1"/>
  <c r="O27" i="1"/>
  <c r="O78" i="1"/>
  <c r="O145" i="1"/>
  <c r="O30" i="1"/>
  <c r="O81" i="1"/>
  <c r="O89" i="1"/>
  <c r="O165" i="1"/>
  <c r="O169" i="1"/>
  <c r="O183" i="1"/>
  <c r="O25" i="1"/>
  <c r="O198" i="1"/>
  <c r="O161" i="1"/>
  <c r="O36" i="1"/>
  <c r="O69" i="1"/>
  <c r="O44" i="1"/>
  <c r="O21" i="1"/>
  <c r="O66" i="1"/>
  <c r="O43" i="1"/>
  <c r="O50" i="1"/>
  <c r="O163" i="1"/>
  <c r="O207" i="1"/>
  <c r="O9" i="1"/>
  <c r="O160" i="1"/>
  <c r="O100" i="1"/>
  <c r="O63" i="1"/>
  <c r="O51" i="1"/>
  <c r="O192" i="1"/>
  <c r="O180" i="1"/>
  <c r="O166" i="1"/>
  <c r="O10" i="1"/>
  <c r="O8" i="1"/>
  <c r="O121" i="1"/>
  <c r="O111" i="1"/>
  <c r="O102" i="1"/>
  <c r="O125" i="1"/>
  <c r="O18" i="1"/>
  <c r="O139" i="1"/>
  <c r="O39" i="1"/>
  <c r="O155" i="1"/>
  <c r="O170" i="1"/>
  <c r="O182" i="1"/>
  <c r="O73" i="1"/>
  <c r="O90" i="1"/>
  <c r="O124" i="1"/>
  <c r="O107" i="1"/>
  <c r="O123" i="1"/>
  <c r="O197" i="1"/>
  <c r="O28" i="1"/>
  <c r="O179" i="1"/>
  <c r="O53" i="1"/>
  <c r="O168" i="1"/>
  <c r="O135" i="1"/>
  <c r="O164" i="1"/>
  <c r="O88" i="1"/>
  <c r="O172" i="1"/>
  <c r="O115" i="1"/>
  <c r="O46" i="1"/>
  <c r="O108" i="1"/>
  <c r="O19" i="1"/>
  <c r="O14" i="1"/>
  <c r="O153" i="1"/>
  <c r="O17" i="1"/>
  <c r="O177" i="1"/>
  <c r="O83" i="1"/>
  <c r="O65" i="1"/>
  <c r="O114" i="1"/>
  <c r="O22" i="1"/>
  <c r="O200" i="1"/>
  <c r="O91" i="1"/>
  <c r="O93" i="1"/>
  <c r="O106" i="1"/>
  <c r="O128" i="1"/>
  <c r="O96" i="1"/>
  <c r="O116" i="1"/>
  <c r="O11" i="1"/>
  <c r="O201" i="1"/>
  <c r="O98" i="1"/>
  <c r="O32" i="1"/>
  <c r="O112" i="1"/>
  <c r="O142" i="1"/>
  <c r="O159" i="1"/>
  <c r="O143" i="1"/>
  <c r="O16" i="1"/>
  <c r="O59" i="1"/>
  <c r="O158" i="1"/>
  <c r="O75" i="1"/>
  <c r="O191" i="1"/>
  <c r="O29" i="1"/>
  <c r="O152" i="1"/>
  <c r="O99" i="1"/>
  <c r="O141" i="1"/>
  <c r="O186" i="1"/>
  <c r="O41" i="1"/>
  <c r="O49" i="1"/>
  <c r="O122" i="1"/>
  <c r="O95" i="1"/>
  <c r="O131" i="1"/>
  <c r="O119" i="1"/>
  <c r="O204" i="1"/>
  <c r="O195" i="1"/>
  <c r="O24" i="1"/>
  <c r="O167" i="1"/>
  <c r="O38" i="1"/>
  <c r="O87" i="1"/>
  <c r="O202" i="1"/>
  <c r="O103" i="1"/>
  <c r="O190" i="1"/>
  <c r="O70" i="1"/>
  <c r="O137" i="1"/>
  <c r="O132" i="1"/>
  <c r="O173" i="1"/>
  <c r="O97" i="1"/>
  <c r="O149" i="1"/>
  <c r="O94" i="1"/>
  <c r="O171" i="1"/>
  <c r="O101" i="1"/>
  <c r="O136" i="1"/>
  <c r="O194" i="1"/>
  <c r="O196" i="1"/>
  <c r="O205" i="1"/>
  <c r="O120" i="1"/>
  <c r="O48" i="1"/>
  <c r="O151" i="1"/>
  <c r="O76" i="1"/>
  <c r="O148" i="1"/>
  <c r="O105" i="1"/>
  <c r="O26" i="1"/>
  <c r="O203" i="1"/>
  <c r="O146" i="1"/>
  <c r="O31" i="1"/>
  <c r="O129" i="1"/>
  <c r="O181" i="1"/>
  <c r="O54" i="1"/>
  <c r="O37" i="1"/>
  <c r="O67" i="1"/>
  <c r="O193" i="1"/>
  <c r="O175" i="1"/>
  <c r="O157" i="1"/>
  <c r="O187" i="1"/>
  <c r="O23" i="1"/>
  <c r="O13" i="1"/>
  <c r="O84" i="1"/>
  <c r="O156" i="1"/>
  <c r="O117" i="1"/>
  <c r="O118" i="1"/>
  <c r="O72" i="1"/>
  <c r="O20" i="1"/>
  <c r="O62" i="1"/>
  <c r="O85" i="1"/>
  <c r="O61" i="1"/>
  <c r="O79" i="1"/>
  <c r="O56" i="1"/>
  <c r="O74" i="1"/>
  <c r="O199" i="1"/>
  <c r="O55" i="1"/>
  <c r="O57" i="1"/>
  <c r="O147" i="1"/>
  <c r="O92" i="1"/>
  <c r="O77" i="1"/>
  <c r="O184" i="1"/>
  <c r="O150" i="1"/>
  <c r="O109" i="1"/>
  <c r="O33" i="1"/>
  <c r="O206" i="1"/>
  <c r="O140" i="1"/>
  <c r="O110" i="1"/>
  <c r="O71" i="1"/>
  <c r="O64" i="1"/>
  <c r="O133" i="1"/>
  <c r="O188" i="1"/>
  <c r="O47" i="1"/>
  <c r="O176" i="1"/>
  <c r="O40" i="1"/>
  <c r="O127" i="1"/>
  <c r="O189" i="1"/>
  <c r="O15" i="1"/>
  <c r="O82" i="1"/>
  <c r="O138" i="1"/>
  <c r="N138" i="1"/>
  <c r="N126" i="1"/>
  <c r="N162" i="1"/>
  <c r="N52" i="1"/>
  <c r="N42" i="1"/>
  <c r="N178" i="1"/>
  <c r="N154" i="1"/>
  <c r="N113" i="1"/>
  <c r="N185" i="1"/>
  <c r="N60" i="1"/>
  <c r="N34" i="1"/>
  <c r="N130" i="1"/>
  <c r="N80" i="1"/>
  <c r="N144" i="1"/>
  <c r="N134" i="1"/>
  <c r="N104" i="1"/>
  <c r="N45" i="1"/>
  <c r="N58" i="1"/>
  <c r="N174" i="1"/>
  <c r="N12" i="1"/>
  <c r="N86" i="1"/>
  <c r="N68" i="1"/>
  <c r="N35" i="1"/>
  <c r="N27" i="1"/>
  <c r="N78" i="1"/>
  <c r="N145" i="1"/>
  <c r="N30" i="1"/>
  <c r="N81" i="1"/>
  <c r="N89" i="1"/>
  <c r="N165" i="1"/>
  <c r="N169" i="1"/>
  <c r="N183" i="1"/>
  <c r="N25" i="1"/>
  <c r="N198" i="1"/>
  <c r="N161" i="1"/>
  <c r="N36" i="1"/>
  <c r="N69" i="1"/>
  <c r="N44" i="1"/>
  <c r="N21" i="1"/>
  <c r="N66" i="1"/>
  <c r="N43" i="1"/>
  <c r="N50" i="1"/>
  <c r="N163" i="1"/>
  <c r="N207" i="1"/>
  <c r="N9" i="1"/>
  <c r="N160" i="1"/>
  <c r="N100" i="1"/>
  <c r="N63" i="1"/>
  <c r="N51" i="1"/>
  <c r="N192" i="1"/>
  <c r="N180" i="1"/>
  <c r="N166" i="1"/>
  <c r="N10" i="1"/>
  <c r="N8" i="1"/>
  <c r="N121" i="1"/>
  <c r="N111" i="1"/>
  <c r="N102" i="1"/>
  <c r="N125" i="1"/>
  <c r="N18" i="1"/>
  <c r="N139" i="1"/>
  <c r="N39" i="1"/>
  <c r="N155" i="1"/>
  <c r="N170" i="1"/>
  <c r="N182" i="1"/>
  <c r="N73" i="1"/>
  <c r="N90" i="1"/>
  <c r="N124" i="1"/>
  <c r="N107" i="1"/>
  <c r="N123" i="1"/>
  <c r="N197" i="1"/>
  <c r="N28" i="1"/>
  <c r="N179" i="1"/>
  <c r="N53" i="1"/>
  <c r="N168" i="1"/>
  <c r="N135" i="1"/>
  <c r="N164" i="1"/>
  <c r="N88" i="1"/>
  <c r="N172" i="1"/>
  <c r="N115" i="1"/>
  <c r="N46" i="1"/>
  <c r="N108" i="1"/>
  <c r="N19" i="1"/>
  <c r="N14" i="1"/>
  <c r="N153" i="1"/>
  <c r="N17" i="1"/>
  <c r="N177" i="1"/>
  <c r="N83" i="1"/>
  <c r="N65" i="1"/>
  <c r="N114" i="1"/>
  <c r="N22" i="1"/>
  <c r="N200" i="1"/>
  <c r="N91" i="1"/>
  <c r="N93" i="1"/>
  <c r="N106" i="1"/>
  <c r="N128" i="1"/>
  <c r="N96" i="1"/>
  <c r="N116" i="1"/>
  <c r="N11" i="1"/>
  <c r="N201" i="1"/>
  <c r="N98" i="1"/>
  <c r="N32" i="1"/>
  <c r="N112" i="1"/>
  <c r="N142" i="1"/>
  <c r="N159" i="1"/>
  <c r="N143" i="1"/>
  <c r="N16" i="1"/>
  <c r="N59" i="1"/>
  <c r="N158" i="1"/>
  <c r="N75" i="1"/>
  <c r="N191" i="1"/>
  <c r="N29" i="1"/>
  <c r="N152" i="1"/>
  <c r="N99" i="1"/>
  <c r="N141" i="1"/>
  <c r="N186" i="1"/>
  <c r="N41" i="1"/>
  <c r="N49" i="1"/>
  <c r="N122" i="1"/>
  <c r="N95" i="1"/>
  <c r="N131" i="1"/>
  <c r="N119" i="1"/>
  <c r="N204" i="1"/>
  <c r="N195" i="1"/>
  <c r="N24" i="1"/>
  <c r="N167" i="1"/>
  <c r="N38" i="1"/>
  <c r="N87" i="1"/>
  <c r="N202" i="1"/>
  <c r="N103" i="1"/>
  <c r="N190" i="1"/>
  <c r="N70" i="1"/>
  <c r="N137" i="1"/>
  <c r="N132" i="1"/>
  <c r="N173" i="1"/>
  <c r="N97" i="1"/>
  <c r="N149" i="1"/>
  <c r="N94" i="1"/>
  <c r="N171" i="1"/>
  <c r="N101" i="1"/>
  <c r="N136" i="1"/>
  <c r="N194" i="1"/>
  <c r="N196" i="1"/>
  <c r="N205" i="1"/>
  <c r="N120" i="1"/>
  <c r="N48" i="1"/>
  <c r="N151" i="1"/>
  <c r="N76" i="1"/>
  <c r="N148" i="1"/>
  <c r="N105" i="1"/>
  <c r="N26" i="1"/>
  <c r="N203" i="1"/>
  <c r="N146" i="1"/>
  <c r="N31" i="1"/>
  <c r="N129" i="1"/>
  <c r="N181" i="1"/>
  <c r="N54" i="1"/>
  <c r="N37" i="1"/>
  <c r="N67" i="1"/>
  <c r="N193" i="1"/>
  <c r="N175" i="1"/>
  <c r="N157" i="1"/>
  <c r="N187" i="1"/>
  <c r="N23" i="1"/>
  <c r="N13" i="1"/>
  <c r="N84" i="1"/>
  <c r="N156" i="1"/>
  <c r="N117" i="1"/>
  <c r="N118" i="1"/>
  <c r="N72" i="1"/>
  <c r="N20" i="1"/>
  <c r="N62" i="1"/>
  <c r="N85" i="1"/>
  <c r="N61" i="1"/>
  <c r="N79" i="1"/>
  <c r="N56" i="1"/>
  <c r="N74" i="1"/>
  <c r="N199" i="1"/>
  <c r="N55" i="1"/>
  <c r="N57" i="1"/>
  <c r="N147" i="1"/>
  <c r="N92" i="1"/>
  <c r="N77" i="1"/>
  <c r="N184" i="1"/>
  <c r="N150" i="1"/>
  <c r="N109" i="1"/>
  <c r="N33" i="1"/>
  <c r="N206" i="1"/>
  <c r="N140" i="1"/>
  <c r="N110" i="1"/>
  <c r="N71" i="1"/>
  <c r="N64" i="1"/>
  <c r="N133" i="1"/>
  <c r="N188" i="1"/>
  <c r="N47" i="1"/>
  <c r="N176" i="1"/>
  <c r="N40" i="1"/>
  <c r="N127" i="1"/>
  <c r="N189" i="1"/>
  <c r="N15" i="1"/>
  <c r="N82" i="1"/>
  <c r="M126" i="1"/>
  <c r="M162" i="1"/>
  <c r="M52" i="1"/>
  <c r="M42" i="1"/>
  <c r="M178" i="1"/>
  <c r="M154" i="1"/>
  <c r="M113" i="1"/>
  <c r="M185" i="1"/>
  <c r="M60" i="1"/>
  <c r="M34" i="1"/>
  <c r="M130" i="1"/>
  <c r="M80" i="1"/>
  <c r="M144" i="1"/>
  <c r="M134" i="1"/>
  <c r="M104" i="1"/>
  <c r="M45" i="1"/>
  <c r="M58" i="1"/>
  <c r="M174" i="1"/>
  <c r="M12" i="1"/>
  <c r="M86" i="1"/>
  <c r="M68" i="1"/>
  <c r="M35" i="1"/>
  <c r="M27" i="1"/>
  <c r="M78" i="1"/>
  <c r="M145" i="1"/>
  <c r="M30" i="1"/>
  <c r="M81" i="1"/>
  <c r="M89" i="1"/>
  <c r="M165" i="1"/>
  <c r="M169" i="1"/>
  <c r="M183" i="1"/>
  <c r="M25" i="1"/>
  <c r="M198" i="1"/>
  <c r="M161" i="1"/>
  <c r="M36" i="1"/>
  <c r="M69" i="1"/>
  <c r="M44" i="1"/>
  <c r="M21" i="1"/>
  <c r="M66" i="1"/>
  <c r="M43" i="1"/>
  <c r="M50" i="1"/>
  <c r="M163" i="1"/>
  <c r="M207" i="1"/>
  <c r="M9" i="1"/>
  <c r="M160" i="1"/>
  <c r="M100" i="1"/>
  <c r="M63" i="1"/>
  <c r="M51" i="1"/>
  <c r="M192" i="1"/>
  <c r="M180" i="1"/>
  <c r="M166" i="1"/>
  <c r="M10" i="1"/>
  <c r="M8" i="1"/>
  <c r="M121" i="1"/>
  <c r="M111" i="1"/>
  <c r="M102" i="1"/>
  <c r="M125" i="1"/>
  <c r="M18" i="1"/>
  <c r="M139" i="1"/>
  <c r="M39" i="1"/>
  <c r="M155" i="1"/>
  <c r="M170" i="1"/>
  <c r="M182" i="1"/>
  <c r="M73" i="1"/>
  <c r="M90" i="1"/>
  <c r="M124" i="1"/>
  <c r="M107" i="1"/>
  <c r="M123" i="1"/>
  <c r="M197" i="1"/>
  <c r="M28" i="1"/>
  <c r="M179" i="1"/>
  <c r="M53" i="1"/>
  <c r="M168" i="1"/>
  <c r="M135" i="1"/>
  <c r="M164" i="1"/>
  <c r="M88" i="1"/>
  <c r="M172" i="1"/>
  <c r="M115" i="1"/>
  <c r="M46" i="1"/>
  <c r="M108" i="1"/>
  <c r="M19" i="1"/>
  <c r="M14" i="1"/>
  <c r="M153" i="1"/>
  <c r="M17" i="1"/>
  <c r="M177" i="1"/>
  <c r="M83" i="1"/>
  <c r="M65" i="1"/>
  <c r="M114" i="1"/>
  <c r="M22" i="1"/>
  <c r="M200" i="1"/>
  <c r="M91" i="1"/>
  <c r="M93" i="1"/>
  <c r="M106" i="1"/>
  <c r="M128" i="1"/>
  <c r="M96" i="1"/>
  <c r="M116" i="1"/>
  <c r="M11" i="1"/>
  <c r="M201" i="1"/>
  <c r="M98" i="1"/>
  <c r="M32" i="1"/>
  <c r="M112" i="1"/>
  <c r="M142" i="1"/>
  <c r="M159" i="1"/>
  <c r="M143" i="1"/>
  <c r="M16" i="1"/>
  <c r="M59" i="1"/>
  <c r="M158" i="1"/>
  <c r="M75" i="1"/>
  <c r="M191" i="1"/>
  <c r="M29" i="1"/>
  <c r="M152" i="1"/>
  <c r="M99" i="1"/>
  <c r="M141" i="1"/>
  <c r="M186" i="1"/>
  <c r="M41" i="1"/>
  <c r="M49" i="1"/>
  <c r="M122" i="1"/>
  <c r="M95" i="1"/>
  <c r="M131" i="1"/>
  <c r="M119" i="1"/>
  <c r="M204" i="1"/>
  <c r="M195" i="1"/>
  <c r="M24" i="1"/>
  <c r="M167" i="1"/>
  <c r="M38" i="1"/>
  <c r="M87" i="1"/>
  <c r="M202" i="1"/>
  <c r="M103" i="1"/>
  <c r="M190" i="1"/>
  <c r="M70" i="1"/>
  <c r="M137" i="1"/>
  <c r="M132" i="1"/>
  <c r="M173" i="1"/>
  <c r="M97" i="1"/>
  <c r="M149" i="1"/>
  <c r="M94" i="1"/>
  <c r="M171" i="1"/>
  <c r="M101" i="1"/>
  <c r="M136" i="1"/>
  <c r="M194" i="1"/>
  <c r="M196" i="1"/>
  <c r="M205" i="1"/>
  <c r="M120" i="1"/>
  <c r="M48" i="1"/>
  <c r="M151" i="1"/>
  <c r="M76" i="1"/>
  <c r="M148" i="1"/>
  <c r="M105" i="1"/>
  <c r="M26" i="1"/>
  <c r="M203" i="1"/>
  <c r="M146" i="1"/>
  <c r="M31" i="1"/>
  <c r="M129" i="1"/>
  <c r="M181" i="1"/>
  <c r="M54" i="1"/>
  <c r="M37" i="1"/>
  <c r="M67" i="1"/>
  <c r="M193" i="1"/>
  <c r="M175" i="1"/>
  <c r="M157" i="1"/>
  <c r="M187" i="1"/>
  <c r="M23" i="1"/>
  <c r="M13" i="1"/>
  <c r="M84" i="1"/>
  <c r="M156" i="1"/>
  <c r="M117" i="1"/>
  <c r="M118" i="1"/>
  <c r="M72" i="1"/>
  <c r="M20" i="1"/>
  <c r="M62" i="1"/>
  <c r="M85" i="1"/>
  <c r="M61" i="1"/>
  <c r="M79" i="1"/>
  <c r="M56" i="1"/>
  <c r="M74" i="1"/>
  <c r="M199" i="1"/>
  <c r="M55" i="1"/>
  <c r="M57" i="1"/>
  <c r="M147" i="1"/>
  <c r="M92" i="1"/>
  <c r="M77" i="1"/>
  <c r="M184" i="1"/>
  <c r="M150" i="1"/>
  <c r="M109" i="1"/>
  <c r="M33" i="1"/>
  <c r="M206" i="1"/>
  <c r="M140" i="1"/>
  <c r="M110" i="1"/>
  <c r="M71" i="1"/>
  <c r="M64" i="1"/>
  <c r="M133" i="1"/>
  <c r="M188" i="1"/>
  <c r="M47" i="1"/>
  <c r="M176" i="1"/>
  <c r="M40" i="1"/>
  <c r="M127" i="1"/>
  <c r="M189" i="1"/>
  <c r="M15" i="1"/>
  <c r="M82" i="1"/>
  <c r="M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tc={8AAF9B13-7BED-4A4A-8739-45C74FF46660}</author>
  </authors>
  <commentList>
    <comment ref="P7" authorId="0" shapeId="0" xr:uid="{8AAF9B13-7BED-4A4A-8739-45C74FF466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1=economy, 2=normal, 3=premium’. </t>
      </text>
    </comment>
  </commentList>
</comments>
</file>

<file path=xl/sharedStrings.xml><?xml version="1.0" encoding="utf-8"?>
<sst xmlns="http://schemas.openxmlformats.org/spreadsheetml/2006/main" count="1234" uniqueCount="240">
  <si>
    <t>Invoice ID</t>
  </si>
  <si>
    <t>Branch</t>
  </si>
  <si>
    <t>Quantity</t>
  </si>
  <si>
    <t>A</t>
  </si>
  <si>
    <t>Member</t>
  </si>
  <si>
    <t>C</t>
  </si>
  <si>
    <t>Normal</t>
  </si>
  <si>
    <t>B</t>
  </si>
  <si>
    <t>Customer Type</t>
  </si>
  <si>
    <t>Unit Price</t>
  </si>
  <si>
    <t>Total Sales</t>
  </si>
  <si>
    <t>Cost of Goods Sold</t>
  </si>
  <si>
    <t>Invoice Date</t>
  </si>
  <si>
    <t>Tax Rate:</t>
  </si>
  <si>
    <t>Discount:</t>
  </si>
  <si>
    <t>Tax</t>
  </si>
  <si>
    <t>865-84-8998</t>
  </si>
  <si>
    <t>974-76-5969</t>
  </si>
  <si>
    <t>359-86-9638</t>
  </si>
  <si>
    <t>217-45-2341</t>
  </si>
  <si>
    <t>910-22-5506</t>
  </si>
  <si>
    <t>903-85-6957</t>
  </si>
  <si>
    <t>714-13-8640</t>
  </si>
  <si>
    <t>662-20-8328</t>
  </si>
  <si>
    <t>561-76-9660</t>
  </si>
  <si>
    <t>859-55-1582</t>
  </si>
  <si>
    <t>617-35-8350</t>
  </si>
  <si>
    <t>329-62-9444</t>
  </si>
  <si>
    <t>679-41-6332</t>
  </si>
  <si>
    <t>839-15-2064</t>
  </si>
  <si>
    <t>206-69-4423</t>
  </si>
  <si>
    <t>242-85-8273</t>
  </si>
  <si>
    <t>419-79-4310</t>
  </si>
  <si>
    <t>702-41-8660</t>
  </si>
  <si>
    <t>659-49-6732</t>
  </si>
  <si>
    <t>596-24-3601</t>
  </si>
  <si>
    <t>154-12-3260</t>
  </si>
  <si>
    <t>423-59-7236</t>
  </si>
  <si>
    <t>240-44-3063</t>
  </si>
  <si>
    <t>944-23-3543</t>
  </si>
  <si>
    <t>823-97-8528</t>
  </si>
  <si>
    <t>689-96-7432</t>
  </si>
  <si>
    <t>464-33-1889</t>
  </si>
  <si>
    <t>991-23-4558</t>
  </si>
  <si>
    <t>931-80-6151</t>
  </si>
  <si>
    <t>301-94-7964</t>
  </si>
  <si>
    <t>639-20-1798</t>
  </si>
  <si>
    <t>663-10-6264</t>
  </si>
  <si>
    <t>840-27-5580</t>
  </si>
  <si>
    <t>237-20-8362</t>
  </si>
  <si>
    <t>480-96-6115</t>
  </si>
  <si>
    <t>762-16-2812</t>
  </si>
  <si>
    <t>802-54-5402</t>
  </si>
  <si>
    <t>603-80-6354</t>
  </si>
  <si>
    <t>502-92-6406</t>
  </si>
  <si>
    <t>634-56-8222</t>
  </si>
  <si>
    <t>109-34-2328</t>
  </si>
  <si>
    <t>833-78-3458</t>
  </si>
  <si>
    <t>792-33-9733</t>
  </si>
  <si>
    <t>879-34-3582</t>
  </si>
  <si>
    <t>753-94-7517</t>
  </si>
  <si>
    <t>188-99-5694</t>
  </si>
  <si>
    <t>825-32-6777</t>
  </si>
  <si>
    <t>563-53-6671</t>
  </si>
  <si>
    <t>182-87-3709</t>
  </si>
  <si>
    <t>437-58-6712</t>
  </si>
  <si>
    <t>731-88-5534</t>
  </si>
  <si>
    <t>637-99-7674</t>
  </si>
  <si>
    <t>582-64-8664</t>
  </si>
  <si>
    <t>339-90-7053</t>
  </si>
  <si>
    <t>242-78-2017</t>
  </si>
  <si>
    <t>525-37-9045</t>
  </si>
  <si>
    <t>745-54-4513</t>
  </si>
  <si>
    <t>597-48-5799</t>
  </si>
  <si>
    <t>478-63-8035</t>
  </si>
  <si>
    <t>661-10-3942</t>
  </si>
  <si>
    <t>172-60-2598</t>
  </si>
  <si>
    <t>471-89-3236</t>
  </si>
  <si>
    <t>468-33-5133</t>
  </si>
  <si>
    <t>806-98-7482</t>
  </si>
  <si>
    <t>619-46-1458</t>
  </si>
  <si>
    <t>495-96-5094</t>
  </si>
  <si>
    <t>457-23-2290</t>
  </si>
  <si>
    <t>645-70-4237</t>
  </si>
  <si>
    <t>950-64-7361</t>
  </si>
  <si>
    <t>955-11-6763</t>
  </si>
  <si>
    <t>907-11-7972</t>
  </si>
  <si>
    <t>581-52-6211</t>
  </si>
  <si>
    <t>745-59-9465</t>
  </si>
  <si>
    <t>985-74-1394</t>
  </si>
  <si>
    <t>704-13-7916</t>
  </si>
  <si>
    <t>154-48-8596</t>
  </si>
  <si>
    <t>835-19-3813</t>
  </si>
  <si>
    <t>285-80-5309</t>
  </si>
  <si>
    <t>425-26-9638</t>
  </si>
  <si>
    <t>788-37-3849</t>
  </si>
  <si>
    <t>447-62-5077</t>
  </si>
  <si>
    <t>299-88-6738</t>
  </si>
  <si>
    <t>576-45-2880</t>
  </si>
  <si>
    <t>979-80-6216</t>
  </si>
  <si>
    <t>331-47-6798</t>
  </si>
  <si>
    <t>148-89-6313</t>
  </si>
  <si>
    <t>983-86-2651</t>
  </si>
  <si>
    <t>641-86-4995</t>
  </si>
  <si>
    <t>694-29-9509</t>
  </si>
  <si>
    <t>744-23-6317</t>
  </si>
  <si>
    <t>305-27-8490</t>
  </si>
  <si>
    <t>652-45-4207</t>
  </si>
  <si>
    <t>437-25-9405</t>
  </si>
  <si>
    <t>930-51-3333</t>
  </si>
  <si>
    <t>500-90-3156</t>
  </si>
  <si>
    <t>367-75-8719</t>
  </si>
  <si>
    <t>697-94-6355</t>
  </si>
  <si>
    <t>882-56-6471</t>
  </si>
  <si>
    <t>747-14-1698</t>
  </si>
  <si>
    <t>328-27-7099</t>
  </si>
  <si>
    <t>147-53-9396</t>
  </si>
  <si>
    <t>586-44-5334</t>
  </si>
  <si>
    <t>828-31-8226</t>
  </si>
  <si>
    <t>769-16-6373</t>
  </si>
  <si>
    <t>348-39-4372</t>
  </si>
  <si>
    <t>388-84-4377</t>
  </si>
  <si>
    <t>885-77-1105</t>
  </si>
  <si>
    <t>394-79-8594</t>
  </si>
  <si>
    <t>526-87-4004</t>
  </si>
  <si>
    <t>350-90-2380</t>
  </si>
  <si>
    <t>559-74-2849</t>
  </si>
  <si>
    <t>219-77-6327</t>
  </si>
  <si>
    <t>446-48-5109</t>
  </si>
  <si>
    <t>657-47-9678</t>
  </si>
  <si>
    <t>387-26-7343</t>
  </si>
  <si>
    <t>564-37-8929</t>
  </si>
  <si>
    <t>101-67-5453</t>
  </si>
  <si>
    <t>324-24-4957</t>
  </si>
  <si>
    <t>473-98-8819</t>
  </si>
  <si>
    <t>745-56-9050</t>
  </si>
  <si>
    <t>600-79-6230</t>
  </si>
  <si>
    <t>874-97-5263</t>
  </si>
  <si>
    <t>946-80-4512</t>
  </si>
  <si>
    <t>490-38-3393</t>
  </si>
  <si>
    <t>635-32-1879</t>
  </si>
  <si>
    <t>869-94-7064</t>
  </si>
  <si>
    <t>856-67-9639</t>
  </si>
  <si>
    <t>511-87-2217</t>
  </si>
  <si>
    <t>226-77-5832</t>
  </si>
  <si>
    <t>306-80-5610</t>
  </si>
  <si>
    <t>586-53-2610</t>
  </si>
  <si>
    <t>716-69-5694</t>
  </si>
  <si>
    <t>790-31-4742</t>
  </si>
  <si>
    <t>320-57-5645</t>
  </si>
  <si>
    <t>562-59-5379</t>
  </si>
  <si>
    <t>357-89-3820</t>
  </si>
  <si>
    <t>103-62-9795</t>
  </si>
  <si>
    <t>833-56-7918</t>
  </si>
  <si>
    <t>669-89-2809</t>
  </si>
  <si>
    <t>944-35-5919</t>
  </si>
  <si>
    <t>719-21-3781</t>
  </si>
  <si>
    <t>311-95-7561</t>
  </si>
  <si>
    <t>282-25-1203</t>
  </si>
  <si>
    <t>512-90-4834</t>
  </si>
  <si>
    <t>310-21-4840</t>
  </si>
  <si>
    <t>302-77-6505</t>
  </si>
  <si>
    <t>305-62-5416</t>
  </si>
  <si>
    <t>758-26-5625</t>
  </si>
  <si>
    <t>216-97-2594</t>
  </si>
  <si>
    <t>815-95-7095</t>
  </si>
  <si>
    <t>280-67-2924</t>
  </si>
  <si>
    <t>130-95-3219</t>
  </si>
  <si>
    <t>640-75-4335</t>
  </si>
  <si>
    <t>629-17-6301</t>
  </si>
  <si>
    <t>793-23-4559</t>
  </si>
  <si>
    <t>113-89-1006</t>
  </si>
  <si>
    <t>854-68-6873</t>
  </si>
  <si>
    <t>946-33-2659</t>
  </si>
  <si>
    <t>894-62-6294</t>
  </si>
  <si>
    <t>330-41-6411</t>
  </si>
  <si>
    <t>397-17-6759</t>
  </si>
  <si>
    <t>622-65-6666</t>
  </si>
  <si>
    <t>911-13-1251</t>
  </si>
  <si>
    <t>862-60-2868</t>
  </si>
  <si>
    <t>852-60-1867</t>
  </si>
  <si>
    <t>483-98-4390</t>
  </si>
  <si>
    <t>303-97-5049</t>
  </si>
  <si>
    <t>909-69-2287</t>
  </si>
  <si>
    <t>639-82-7649</t>
  </si>
  <si>
    <t>751-95-9583</t>
  </si>
  <si>
    <t>729-18-3080</t>
  </si>
  <si>
    <t>626-12-7923</t>
  </si>
  <si>
    <t>657-87-2754</t>
  </si>
  <si>
    <t>542-10-6565</t>
  </si>
  <si>
    <t>385-57-4857</t>
  </si>
  <si>
    <t>116-34-5576</t>
  </si>
  <si>
    <t>249-87-5933</t>
  </si>
  <si>
    <t>645-70-4525</t>
  </si>
  <si>
    <t>906-47-2509</t>
  </si>
  <si>
    <t>995-32-4610</t>
  </si>
  <si>
    <t>747-97-1448</t>
  </si>
  <si>
    <t>299-62-9332</t>
  </si>
  <si>
    <t>471-86-6728</t>
  </si>
  <si>
    <t>586-83-2773</t>
  </si>
  <si>
    <t>621-31-6329</t>
  </si>
  <si>
    <t>229-65-4828</t>
  </si>
  <si>
    <t>872-59-2724</t>
  </si>
  <si>
    <t>528-62-2246</t>
  </si>
  <si>
    <t>124-39-4155</t>
  </si>
  <si>
    <t>696-37-8180</t>
  </si>
  <si>
    <t>182-87-2079</t>
  </si>
  <si>
    <t>158-61-9722</t>
  </si>
  <si>
    <t>444-70-1762</t>
  </si>
  <si>
    <t>547-82-9490</t>
  </si>
  <si>
    <t>632-20-5225</t>
  </si>
  <si>
    <t>425-46-6260</t>
  </si>
  <si>
    <t>216-25-3475</t>
  </si>
  <si>
    <t>621-71-7273</t>
  </si>
  <si>
    <t>981-63-9999</t>
  </si>
  <si>
    <t>288-95-5609</t>
  </si>
  <si>
    <t>Town</t>
  </si>
  <si>
    <t>Category</t>
  </si>
  <si>
    <t>Manuafacturer</t>
  </si>
  <si>
    <t>Computer</t>
  </si>
  <si>
    <t>Phone</t>
  </si>
  <si>
    <t>Apple</t>
  </si>
  <si>
    <t>Samsung</t>
  </si>
  <si>
    <t>Lenovo</t>
  </si>
  <si>
    <t>Dell</t>
  </si>
  <si>
    <t>Acer</t>
  </si>
  <si>
    <t>Oppo</t>
  </si>
  <si>
    <t>Greymouth</t>
  </si>
  <si>
    <t>Westport</t>
  </si>
  <si>
    <t>Hokitika</t>
  </si>
  <si>
    <t>Tech Stop - Sales Data (2022-Present)</t>
  </si>
  <si>
    <t>Dax Babaria</t>
  </si>
  <si>
    <t>Gross Income</t>
  </si>
  <si>
    <t>Gross Margin</t>
  </si>
  <si>
    <t>Sales Year</t>
  </si>
  <si>
    <t xml:space="preserve">Price Category </t>
  </si>
  <si>
    <t>Column Labels</t>
  </si>
  <si>
    <t>Grand Total</t>
  </si>
  <si>
    <t>Row Labels</t>
  </si>
  <si>
    <t>Sum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</si>
</sst>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/>
    <xf numFmtId="0" fontId="0" fillId="0" borderId="14" xfId="0" applyBorder="1" applyAlignment="1">
      <alignment vertical="top"/>
    </xf>
    <xf numFmtId="14" fontId="0" fillId="0" borderId="14" xfId="0" applyNumberFormat="1" applyBorder="1" applyAlignment="1">
      <alignment horizontal="left"/>
    </xf>
    <xf numFmtId="0" fontId="0" fillId="0" borderId="14" xfId="0" applyBorder="1" applyAlignment="1">
      <alignment horizontal="left" vertical="top"/>
    </xf>
    <xf numFmtId="164" fontId="0" fillId="0" borderId="14" xfId="0" applyNumberFormat="1" applyBorder="1" applyAlignment="1">
      <alignment horizontal="left" vertical="top"/>
    </xf>
    <xf numFmtId="164" fontId="0" fillId="0" borderId="0" xfId="0" applyNumberFormat="1"/>
    <xf numFmtId="10" fontId="0" fillId="0" borderId="0" xfId="0" applyNumberFormat="1"/>
    <xf numFmtId="0" fontId="0" fillId="0" borderId="15" xfId="0" applyBorder="1" applyAlignment="1">
      <alignment vertical="top"/>
    </xf>
    <xf numFmtId="14" fontId="0" fillId="0" borderId="15" xfId="0" applyNumberFormat="1" applyBorder="1" applyAlignment="1">
      <alignment horizontal="left"/>
    </xf>
    <xf numFmtId="164" fontId="0" fillId="0" borderId="15" xfId="0" applyNumberFormat="1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16" fillId="0" borderId="14" xfId="0" applyFont="1" applyBorder="1" applyAlignment="1">
      <alignment horizontal="left"/>
    </xf>
    <xf numFmtId="164" fontId="16" fillId="0" borderId="14" xfId="0" applyNumberFormat="1" applyFont="1" applyBorder="1" applyAlignment="1">
      <alignment horizontal="left"/>
    </xf>
    <xf numFmtId="0" fontId="16" fillId="0" borderId="14" xfId="0" quotePrefix="1" applyFont="1" applyBorder="1" applyAlignment="1">
      <alignment horizontal="left"/>
    </xf>
    <xf numFmtId="0" fontId="16" fillId="0" borderId="14" xfId="0" applyFont="1" applyBorder="1" applyAlignment="1">
      <alignment horizontal="left" vertical="top"/>
    </xf>
    <xf numFmtId="0" fontId="0" fillId="0" borderId="0" xfId="0" pivotButton="1"/>
    <xf numFmtId="0" fontId="0" fillId="33" borderId="10" xfId="0" applyFill="1" applyBorder="1" applyAlignment="1">
      <alignment horizontal="left"/>
    </xf>
    <xf numFmtId="9" fontId="0" fillId="33" borderId="11" xfId="0" applyNumberFormat="1" applyFill="1" applyBorder="1" applyAlignment="1">
      <alignment horizontal="right"/>
    </xf>
    <xf numFmtId="0" fontId="0" fillId="33" borderId="12" xfId="0" applyFill="1" applyBorder="1" applyAlignment="1">
      <alignment horizontal="left"/>
    </xf>
    <xf numFmtId="9" fontId="0" fillId="33" borderId="13" xfId="0" applyNumberFormat="1" applyFill="1" applyBorder="1" applyAlignment="1">
      <alignment horizontal="right"/>
    </xf>
    <xf numFmtId="10" fontId="0" fillId="0" borderId="0" xfId="0" applyNumberFormat="1" applyAlignment="1">
      <alignment horizontal="left"/>
    </xf>
    <xf numFmtId="164" fontId="0" fillId="0" borderId="14" xfId="0" applyNumberFormat="1" applyBorder="1"/>
    <xf numFmtId="165" fontId="0" fillId="0" borderId="14" xfId="0" applyNumberFormat="1" applyBorder="1"/>
    <xf numFmtId="0" fontId="0" fillId="0" borderId="14" xfId="0" applyBorder="1"/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[SalesData_dba148.xlsx]Sales Summary 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Manufacturer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'Sales Summary '!$B$3:$B$4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Summary '!$A$5:$A$11</c:f>
              <c:strCache>
                <c:ptCount val="6"/>
                <c:pt idx="0">
                  <c:v>Acer</c:v>
                </c:pt>
                <c:pt idx="1">
                  <c:v>Apple</c:v>
                </c:pt>
                <c:pt idx="2">
                  <c:v>Dell</c:v>
                </c:pt>
                <c:pt idx="3">
                  <c:v>Lenovo</c:v>
                </c:pt>
                <c:pt idx="4">
                  <c:v>Oppo</c:v>
                </c:pt>
                <c:pt idx="5">
                  <c:v>Samsung</c:v>
                </c:pt>
              </c:strCache>
            </c:strRef>
          </c:cat>
          <c:val>
            <c:numRef>
              <c:f>'Sales Summary '!$B$5:$B$11</c:f>
              <c:numCache>
                <c:formatCode>_-[$$-409]* #,##0.00_ ;_-[$$-409]* \-#,##0.00\ ;_-[$$-409]* "-"??_ ;_-@_ </c:formatCode>
                <c:ptCount val="6"/>
                <c:pt idx="0">
                  <c:v>25155.794999999998</c:v>
                </c:pt>
                <c:pt idx="1">
                  <c:v>43870.574999999997</c:v>
                </c:pt>
                <c:pt idx="2">
                  <c:v>54804.435000000005</c:v>
                </c:pt>
                <c:pt idx="3">
                  <c:v>36161.475000000006</c:v>
                </c:pt>
                <c:pt idx="4">
                  <c:v>36668.415000000001</c:v>
                </c:pt>
                <c:pt idx="5">
                  <c:v>47101.32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0-426E-B78A-DAF641A67335}"/>
            </c:ext>
          </c:extLst>
        </c:ser>
        <c:ser>
          <c:idx val="1"/>
          <c:order val="1"/>
          <c:tx>
            <c:strRef>
              <c:f>'Sales Summary '!$C$3:$C$4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Summary '!$A$5:$A$11</c:f>
              <c:strCache>
                <c:ptCount val="6"/>
                <c:pt idx="0">
                  <c:v>Acer</c:v>
                </c:pt>
                <c:pt idx="1">
                  <c:v>Apple</c:v>
                </c:pt>
                <c:pt idx="2">
                  <c:v>Dell</c:v>
                </c:pt>
                <c:pt idx="3">
                  <c:v>Lenovo</c:v>
                </c:pt>
                <c:pt idx="4">
                  <c:v>Oppo</c:v>
                </c:pt>
                <c:pt idx="5">
                  <c:v>Samsung</c:v>
                </c:pt>
              </c:strCache>
            </c:strRef>
          </c:cat>
          <c:val>
            <c:numRef>
              <c:f>'Sales Summary '!$C$5:$C$11</c:f>
              <c:numCache>
                <c:formatCode>_-[$$-409]* #,##0.00_ ;_-[$$-409]* \-#,##0.00\ ;_-[$$-409]* "-"??_ ;_-@_ </c:formatCode>
                <c:ptCount val="6"/>
                <c:pt idx="0">
                  <c:v>32890.934999999998</c:v>
                </c:pt>
                <c:pt idx="1">
                  <c:v>46462.289999999994</c:v>
                </c:pt>
                <c:pt idx="2">
                  <c:v>60999.54</c:v>
                </c:pt>
                <c:pt idx="3">
                  <c:v>15809.535</c:v>
                </c:pt>
                <c:pt idx="4">
                  <c:v>23455.11</c:v>
                </c:pt>
                <c:pt idx="5">
                  <c:v>33720.54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0-426E-B78A-DAF641A67335}"/>
            </c:ext>
          </c:extLst>
        </c:ser>
        <c:ser>
          <c:idx val="2"/>
          <c:order val="2"/>
          <c:tx>
            <c:strRef>
              <c:f>'Sales Summary '!$D$3:$D$4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'Sales Summary '!$A$5:$A$11</c:f>
              <c:strCache>
                <c:ptCount val="6"/>
                <c:pt idx="0">
                  <c:v>Acer</c:v>
                </c:pt>
                <c:pt idx="1">
                  <c:v>Apple</c:v>
                </c:pt>
                <c:pt idx="2">
                  <c:v>Dell</c:v>
                </c:pt>
                <c:pt idx="3">
                  <c:v>Lenovo</c:v>
                </c:pt>
                <c:pt idx="4">
                  <c:v>Oppo</c:v>
                </c:pt>
                <c:pt idx="5">
                  <c:v>Samsung</c:v>
                </c:pt>
              </c:strCache>
            </c:strRef>
          </c:cat>
          <c:val>
            <c:numRef>
              <c:f>'Sales Summary '!$D$5:$D$11</c:f>
              <c:numCache>
                <c:formatCode>_-[$$-409]* #,##0.00_ ;_-[$$-409]* \-#,##0.00\ ;_-[$$-409]* "-"??_ ;_-@_ </c:formatCode>
                <c:ptCount val="6"/>
                <c:pt idx="0">
                  <c:v>47520.9</c:v>
                </c:pt>
                <c:pt idx="1">
                  <c:v>52790.429999999993</c:v>
                </c:pt>
                <c:pt idx="2">
                  <c:v>39450.915000000001</c:v>
                </c:pt>
                <c:pt idx="3">
                  <c:v>43224.509999999995</c:v>
                </c:pt>
                <c:pt idx="4">
                  <c:v>71024.10000000002</c:v>
                </c:pt>
                <c:pt idx="5">
                  <c:v>40374.075000000004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0-426E-B78A-DAF641A67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1367216"/>
        <c:axId val="1251370096"/>
        <c:axId val="0"/>
      </c:bar3DChart>
      <c:catAx>
        <c:axId val="125136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70096"/>
        <c:crosses val="autoZero"/>
        <c:auto val="1"/>
        <c:lblAlgn val="ctr"/>
        <c:lblOffset val="100"/>
        <c:noMultiLvlLbl val="0"/>
      </c:catAx>
      <c:valAx>
        <c:axId val="125137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6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1</xdr:row>
      <xdr:rowOff>53340</xdr:rowOff>
    </xdr:from>
    <xdr:to>
      <xdr:col>11</xdr:col>
      <xdr:colOff>929640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098B69-FD6A-9555-8B54-D638C53FA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x Babaria" id="{8CC84425-6A94-4D0A-9159-10FC13382DA0}" userId="S::dba148@uclive.ac.nz::14c3874f-1b1d-42c8-b43a-d9f791dc312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X" refreshedDate="45882.532672453701" createdVersion="8" refreshedVersion="8" minRefreshableVersion="3" recordCount="200" xr:uid="{722EE636-92A3-4CBE-93C3-72E8BE5D2068}">
  <cacheSource type="worksheet">
    <worksheetSource ref="A1:L201" sheet="Sheet1"/>
  </cacheSource>
  <cacheFields count="12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Town" numFmtId="0">
      <sharedItems/>
    </cacheField>
    <cacheField name="Customer Type" numFmtId="0">
      <sharedItems/>
    </cacheField>
    <cacheField name="Category" numFmtId="0">
      <sharedItems/>
    </cacheField>
    <cacheField name="Manuafacturer" numFmtId="0">
      <sharedItems count="6">
        <s v="Apple"/>
        <s v="Lenovo"/>
        <s v="Samsung"/>
        <s v="Dell"/>
        <s v="Oppo"/>
        <s v="Acer"/>
      </sharedItems>
    </cacheField>
    <cacheField name="Invoice Date" numFmtId="14">
      <sharedItems containsSemiMixedTypes="0" containsNonDate="0" containsDate="1" containsString="0" minDate="2022-09-03T00:00:00" maxDate="2025-03-21T00:00:00"/>
    </cacheField>
    <cacheField name="Unit Price" numFmtId="0">
      <sharedItems containsSemiMixedTypes="0" containsString="0" containsNumber="1" minValue="109.60000000000001" maxValue="999.59999999999991"/>
    </cacheField>
    <cacheField name="Quantity" numFmtId="0">
      <sharedItems containsSemiMixedTypes="0" containsString="0" containsNumber="1" containsInteger="1" minValue="1" maxValue="10"/>
    </cacheField>
    <cacheField name="Cost of Goods Sold" numFmtId="0">
      <sharedItems containsSemiMixedTypes="0" containsString="0" containsNumber="1" minValue="154.30000000000001" maxValue="9898"/>
    </cacheField>
    <cacheField name="Tax" numFmtId="0">
      <sharedItems containsNonDate="0" containsString="0" containsBlank="1"/>
    </cacheField>
    <cacheField name="Total Sales" numFmtId="0">
      <sharedItems containsSemiMixedTypes="0" containsString="0" containsNumber="1" minValue="162.01499999999999" maxValue="10392.9" count="199">
        <n v="5489.7150000000001"/>
        <n v="802.2"/>
        <n v="3405.2550000000001"/>
        <n v="4890.4799999999996"/>
        <n v="6343.7849999999999"/>
        <n v="6276.165"/>
        <n v="4336.92"/>
        <n v="7723.8"/>
        <n v="761.46"/>
        <n v="1727.46"/>
        <n v="608.16000000000008"/>
        <n v="1071.42"/>
        <n v="2464.875"/>
        <n v="4534.95"/>
        <n v="7494.9"/>
        <n v="5904.3600000000006"/>
        <n v="5066.3549999999996"/>
        <n v="4574.43"/>
        <n v="1722.105"/>
        <n v="846.3"/>
        <n v="4517.0999999999995"/>
        <n v="2771.37"/>
        <n v="697.2"/>
        <n v="1814.4"/>
        <n v="2791.8450000000003"/>
        <n v="4417.5599999999995"/>
        <n v="351.96"/>
        <n v="1841.07"/>
        <n v="4638.8999999999996"/>
        <n v="2352.105"/>
        <n v="4941.8249999999998"/>
        <n v="7377.6149999999998"/>
        <n v="7037.5199999999995"/>
        <n v="2028.18"/>
        <n v="4175.6400000000003"/>
        <n v="715.26"/>
        <n v="3287.55"/>
        <n v="5753.16"/>
        <n v="4613.28"/>
        <n v="2530.08"/>
        <n v="910.56"/>
        <n v="1178.31"/>
        <n v="4354.5600000000004"/>
        <n v="8290.8000000000011"/>
        <n v="322.77"/>
        <n v="3946.32"/>
        <n v="5357.2049999999999"/>
        <n v="1890.9450000000002"/>
        <n v="1192.5899999999999"/>
        <n v="8676.15"/>
        <n v="6717.9"/>
        <n v="2340.9749999999999"/>
        <n v="750.54"/>
        <n v="162.01499999999999"/>
        <n v="339.36"/>
        <n v="7222.32"/>
        <n v="931.1400000000001"/>
        <n v="7526.4"/>
        <n v="7596.75"/>
        <n v="1928.4299999999998"/>
        <n v="779.31"/>
        <n v="3510.99"/>
        <n v="5204.1150000000007"/>
        <n v="1660.05"/>
        <n v="3181.08"/>
        <n v="1666.35"/>
        <n v="702.87000000000012"/>
        <n v="6149.43"/>
        <n v="8270.85"/>
        <n v="192.465"/>
        <n v="9395.4"/>
        <n v="6522.6"/>
        <n v="1528.3799999999999"/>
        <n v="4782.33"/>
        <n v="7056.3149999999996"/>
        <n v="4373.25"/>
        <n v="4634.28"/>
        <n v="8222.5499999999993"/>
        <n v="1069.95"/>
        <n v="6248.97"/>
        <n v="3045.4199999999996"/>
        <n v="1617"/>
        <n v="3375.12"/>
        <n v="2567.7749999999996"/>
        <n v="6104.91"/>
        <n v="4017.3"/>
        <n v="3629.43"/>
        <n v="445.935"/>
        <n v="4850.37"/>
        <n v="1989.96"/>
        <n v="4710.2999999999993"/>
        <n v="1615.53"/>
        <n v="6082.02"/>
        <n v="942.375"/>
        <n v="1020.1800000000001"/>
        <n v="9226.35"/>
        <n v="784.35"/>
        <n v="1661.625"/>
        <n v="5210.1000000000004"/>
        <n v="511.45499999999998"/>
        <n v="7422.9750000000004"/>
        <n v="2180.1150000000002"/>
        <n v="3670.38"/>
        <n v="2230.7249999999999"/>
        <n v="9310.35"/>
        <n v="1724.94"/>
        <n v="3914.1899999999996"/>
        <n v="3211.1099999999997"/>
        <n v="8606.8499999999985"/>
        <n v="346.28999999999996"/>
        <n v="3093.6149999999998"/>
        <n v="5353.74"/>
        <n v="5487.6149999999998"/>
        <n v="7634.6550000000007"/>
        <n v="851.13"/>
        <n v="1151.8499999999999"/>
        <n v="539.28"/>
        <n v="1150.8"/>
        <n v="1122.24"/>
        <n v="8363.0399999999991"/>
        <n v="4198.32"/>
        <n v="9446.2199999999993"/>
        <n v="5368.4400000000005"/>
        <n v="4743.4800000000005"/>
        <n v="6886.2150000000001"/>
        <n v="1693.125"/>
        <n v="2998.4850000000001"/>
        <n v="5757.36"/>
        <n v="8531.4599999999991"/>
        <n v="2912.0699999999997"/>
        <n v="5804.19"/>
        <n v="1463.28"/>
        <n v="5509.3499999999995"/>
        <n v="5121.9000000000005"/>
        <n v="2841.93"/>
        <n v="1381.2750000000001"/>
        <n v="2168.46"/>
        <n v="5450.5499999999993"/>
        <n v="6090"/>
        <n v="9429"/>
        <n v="9502.5"/>
        <n v="7203"/>
        <n v="319.30500000000001"/>
        <n v="4910.8499999999995"/>
        <n v="2914.38"/>
        <n v="3164.7000000000003"/>
        <n v="2777.88"/>
        <n v="6036.24"/>
        <n v="2726.64"/>
        <n v="3844.6800000000003"/>
        <n v="2540.16"/>
        <n v="7866.18"/>
        <n v="1038.24"/>
        <n v="6801.4800000000005"/>
        <n v="4845.2249999999995"/>
        <n v="757.78499999999997"/>
        <n v="2639.7000000000003"/>
        <n v="9187.2900000000009"/>
        <n v="5883.57"/>
        <n v="3627.12"/>
        <n v="668.745"/>
        <n v="3365.5650000000005"/>
        <n v="1604.4"/>
        <n v="4189.5"/>
        <n v="3575.88"/>
        <n v="10035.9"/>
        <n v="10392.9"/>
        <n v="3230.6400000000003"/>
        <n v="5109.7199999999993"/>
        <n v="3675.5250000000001"/>
        <n v="4202.625"/>
        <n v="1751.3999999999999"/>
        <n v="3332.0699999999997"/>
        <n v="1662.36"/>
        <n v="3197.88"/>
        <n v="1862.2800000000002"/>
        <n v="1654.4849999999999"/>
        <n v="4654.4400000000005"/>
        <n v="2734.2000000000003"/>
        <n v="4723.1099999999997"/>
        <n v="3231.4800000000005"/>
        <n v="1627.5"/>
        <n v="2882.04"/>
        <n v="906.99"/>
        <n v="569.52"/>
        <n v="7937.16"/>
        <n v="1951.74"/>
        <n v="777.73500000000001"/>
        <n v="2932.02"/>
        <n v="2426.7599999999998"/>
        <n v="1543.92"/>
        <n v="8297.1"/>
        <n v="1073.0999999999999"/>
        <n v="1717.2749999999999"/>
        <n v="780.04499999999996"/>
        <n v="917.69999999999993"/>
        <n v="265.54500000000002"/>
        <n v="1743"/>
        <n v="3747.97500000000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865-84-8998"/>
    <x v="0"/>
    <s v="Greymouth"/>
    <s v="Member"/>
    <s v="Phone"/>
    <x v="0"/>
    <d v="2024-06-11T00:00:00"/>
    <n v="746.9"/>
    <n v="7"/>
    <n v="5228.3"/>
    <m/>
    <x v="0"/>
  </r>
  <r>
    <s v="974-76-5969"/>
    <x v="1"/>
    <s v="Westport"/>
    <s v="Normal"/>
    <s v="Phone"/>
    <x v="1"/>
    <d v="2024-01-08T00:00:00"/>
    <n v="152.79999999999998"/>
    <n v="5"/>
    <n v="764"/>
    <m/>
    <x v="1"/>
  </r>
  <r>
    <s v="359-86-9638"/>
    <x v="0"/>
    <s v="Greymouth"/>
    <s v="Normal"/>
    <s v="Computer"/>
    <x v="2"/>
    <d v="2024-02-26T00:00:00"/>
    <n v="463.29999999999995"/>
    <n v="7"/>
    <n v="3243.1"/>
    <m/>
    <x v="2"/>
  </r>
  <r>
    <s v="217-45-2341"/>
    <x v="0"/>
    <s v="Greymouth"/>
    <s v="Member"/>
    <s v="Computer"/>
    <x v="0"/>
    <d v="2023-06-01T00:00:00"/>
    <n v="582.20000000000005"/>
    <n v="8"/>
    <n v="4657.6000000000004"/>
    <m/>
    <x v="3"/>
  </r>
  <r>
    <s v="910-22-5506"/>
    <x v="0"/>
    <s v="Greymouth"/>
    <s v="Normal"/>
    <s v="Computer"/>
    <x v="3"/>
    <d v="2023-11-04T00:00:00"/>
    <n v="863.1"/>
    <n v="7"/>
    <n v="6041.7"/>
    <m/>
    <x v="4"/>
  </r>
  <r>
    <s v="903-85-6957"/>
    <x v="1"/>
    <s v="Westport"/>
    <s v="Normal"/>
    <s v="Computer"/>
    <x v="1"/>
    <d v="2024-03-09T00:00:00"/>
    <n v="853.9"/>
    <n v="7"/>
    <n v="5977.3"/>
    <m/>
    <x v="5"/>
  </r>
  <r>
    <s v="714-13-8640"/>
    <x v="0"/>
    <s v="Greymouth"/>
    <s v="Member"/>
    <s v="Phone"/>
    <x v="1"/>
    <d v="2024-04-10T00:00:00"/>
    <n v="688.40000000000009"/>
    <n v="6"/>
    <n v="4130.4000000000005"/>
    <m/>
    <x v="6"/>
  </r>
  <r>
    <s v="662-20-8328"/>
    <x v="1"/>
    <s v="Westport"/>
    <s v="Normal"/>
    <s v="Phone"/>
    <x v="2"/>
    <d v="2023-12-07T00:00:00"/>
    <n v="735.6"/>
    <n v="10"/>
    <n v="7356"/>
    <m/>
    <x v="7"/>
  </r>
  <r>
    <s v="561-76-9660"/>
    <x v="0"/>
    <s v="Greymouth"/>
    <s v="Member"/>
    <s v="Phone"/>
    <x v="0"/>
    <d v="2024-05-15T00:00:00"/>
    <n v="362.59999999999997"/>
    <n v="2"/>
    <n v="725.19999999999993"/>
    <m/>
    <x v="8"/>
  </r>
  <r>
    <s v="859-55-1582"/>
    <x v="2"/>
    <s v="Hokitika"/>
    <s v="Member"/>
    <s v="Phone"/>
    <x v="4"/>
    <d v="2023-03-02T00:00:00"/>
    <n v="548.40000000000009"/>
    <n v="3"/>
    <n v="1645.2"/>
    <m/>
    <x v="9"/>
  </r>
  <r>
    <s v="617-35-8350"/>
    <x v="2"/>
    <s v="Hokitika"/>
    <s v="Member"/>
    <s v="Phone"/>
    <x v="5"/>
    <d v="2023-10-12T00:00:00"/>
    <n v="144.80000000000001"/>
    <n v="4"/>
    <n v="579.20000000000005"/>
    <m/>
    <x v="10"/>
  </r>
  <r>
    <s v="329-62-9444"/>
    <x v="2"/>
    <s v="Hokitika"/>
    <s v="Member"/>
    <s v="Computer"/>
    <x v="1"/>
    <d v="2024-03-18T00:00:00"/>
    <n v="255.10000000000002"/>
    <n v="4"/>
    <n v="1020.4000000000001"/>
    <m/>
    <x v="11"/>
  </r>
  <r>
    <s v="679-41-6332"/>
    <x v="0"/>
    <s v="Greymouth"/>
    <s v="Normal"/>
    <s v="Phone"/>
    <x v="1"/>
    <d v="2023-08-14T00:00:00"/>
    <n v="469.5"/>
    <n v="5"/>
    <n v="2347.5"/>
    <m/>
    <x v="12"/>
  </r>
  <r>
    <s v="839-15-2064"/>
    <x v="0"/>
    <s v="Greymouth"/>
    <s v="Normal"/>
    <s v="Computer"/>
    <x v="4"/>
    <d v="2024-04-26T00:00:00"/>
    <n v="431.9"/>
    <n v="10"/>
    <n v="4319"/>
    <m/>
    <x v="13"/>
  </r>
  <r>
    <s v="206-69-4423"/>
    <x v="0"/>
    <s v="Greymouth"/>
    <s v="Normal"/>
    <s v="Phone"/>
    <x v="0"/>
    <d v="2024-03-01T00:00:00"/>
    <n v="713.8"/>
    <n v="10"/>
    <n v="7138"/>
    <m/>
    <x v="14"/>
  </r>
  <r>
    <s v="242-85-8273"/>
    <x v="2"/>
    <s v="Hokitika"/>
    <s v="Member"/>
    <s v="Phone"/>
    <x v="3"/>
    <d v="2023-12-13T00:00:00"/>
    <n v="937.2"/>
    <n v="6"/>
    <n v="5623.2000000000007"/>
    <m/>
    <x v="15"/>
  </r>
  <r>
    <s v="419-79-4310"/>
    <x v="0"/>
    <s v="Greymouth"/>
    <s v="Member"/>
    <s v="Phone"/>
    <x v="0"/>
    <d v="2023-07-17T00:00:00"/>
    <n v="689.30000000000007"/>
    <n v="7"/>
    <n v="4825.1000000000004"/>
    <m/>
    <x v="16"/>
  </r>
  <r>
    <s v="702-41-8660"/>
    <x v="0"/>
    <s v="Greymouth"/>
    <s v="Normal"/>
    <s v="Computer"/>
    <x v="3"/>
    <d v="2023-01-04T00:00:00"/>
    <n v="726.1"/>
    <n v="6"/>
    <n v="4356.6000000000004"/>
    <m/>
    <x v="17"/>
  </r>
  <r>
    <s v="659-49-6732"/>
    <x v="0"/>
    <s v="Greymouth"/>
    <s v="Normal"/>
    <s v="Phone"/>
    <x v="4"/>
    <d v="2024-12-03T00:00:00"/>
    <n v="546.70000000000005"/>
    <n v="3"/>
    <n v="1640.1"/>
    <m/>
    <x v="18"/>
  </r>
  <r>
    <s v="596-24-3601"/>
    <x v="2"/>
    <s v="Hokitika"/>
    <s v="Normal"/>
    <s v="Phone"/>
    <x v="2"/>
    <d v="2022-10-02T00:00:00"/>
    <n v="403"/>
    <n v="2"/>
    <n v="806"/>
    <m/>
    <x v="19"/>
  </r>
  <r>
    <s v="154-12-3260"/>
    <x v="1"/>
    <s v="Westport"/>
    <s v="Member"/>
    <s v="Computer"/>
    <x v="1"/>
    <d v="2023-07-26T00:00:00"/>
    <n v="860.40000000000009"/>
    <n v="5"/>
    <n v="4302"/>
    <m/>
    <x v="20"/>
  </r>
  <r>
    <s v="423-59-7236"/>
    <x v="2"/>
    <s v="Hokitika"/>
    <s v="Normal"/>
    <s v="Computer"/>
    <x v="0"/>
    <d v="2023-01-11T00:00:00"/>
    <n v="879.80000000000007"/>
    <n v="3"/>
    <n v="2639.4"/>
    <m/>
    <x v="21"/>
  </r>
  <r>
    <s v="240-44-3063"/>
    <x v="2"/>
    <s v="Hokitika"/>
    <s v="Normal"/>
    <s v="Phone"/>
    <x v="2"/>
    <d v="2023-08-21T00:00:00"/>
    <n v="332"/>
    <n v="2"/>
    <n v="664"/>
    <m/>
    <x v="22"/>
  </r>
  <r>
    <s v="944-23-3543"/>
    <x v="0"/>
    <s v="Greymouth"/>
    <s v="Normal"/>
    <s v="Computer"/>
    <x v="1"/>
    <d v="2022-09-07T00:00:00"/>
    <n v="345.6"/>
    <n v="5"/>
    <n v="1728"/>
    <m/>
    <x v="23"/>
  </r>
  <r>
    <s v="823-97-8528"/>
    <x v="0"/>
    <s v="Greymouth"/>
    <s v="Member"/>
    <s v="Computer"/>
    <x v="3"/>
    <d v="2023-12-06T00:00:00"/>
    <n v="886.3"/>
    <n v="3"/>
    <n v="2658.8999999999996"/>
    <m/>
    <x v="24"/>
  </r>
  <r>
    <s v="689-96-7432"/>
    <x v="0"/>
    <s v="Greymouth"/>
    <s v="Member"/>
    <s v="Phone"/>
    <x v="2"/>
    <d v="2024-08-12T00:00:00"/>
    <n v="525.90000000000009"/>
    <n v="8"/>
    <n v="4207.2000000000007"/>
    <m/>
    <x v="25"/>
  </r>
  <r>
    <s v="464-33-1889"/>
    <x v="2"/>
    <s v="Hokitika"/>
    <s v="Normal"/>
    <s v="Computer"/>
    <x v="5"/>
    <d v="2023-11-13T00:00:00"/>
    <n v="335.20000000000005"/>
    <n v="1"/>
    <n v="335.20000000000005"/>
    <m/>
    <x v="26"/>
  </r>
  <r>
    <s v="991-23-4558"/>
    <x v="0"/>
    <s v="Greymouth"/>
    <s v="Normal"/>
    <s v="Computer"/>
    <x v="5"/>
    <d v="2023-07-22T00:00:00"/>
    <n v="876.7"/>
    <n v="2"/>
    <n v="1753.4"/>
    <m/>
    <x v="27"/>
  </r>
  <r>
    <s v="931-80-6151"/>
    <x v="2"/>
    <s v="Hokitika"/>
    <s v="Normal"/>
    <s v="Phone"/>
    <x v="4"/>
    <d v="2023-12-02T00:00:00"/>
    <n v="883.6"/>
    <n v="5"/>
    <n v="4418"/>
    <m/>
    <x v="28"/>
  </r>
  <r>
    <s v="301-94-7964"/>
    <x v="0"/>
    <s v="Greymouth"/>
    <s v="Normal"/>
    <s v="Computer"/>
    <x v="0"/>
    <d v="2024-03-30T00:00:00"/>
    <n v="248.9"/>
    <n v="9"/>
    <n v="2240.1"/>
    <m/>
    <x v="29"/>
  </r>
  <r>
    <s v="639-20-1798"/>
    <x v="2"/>
    <s v="Hokitika"/>
    <s v="Normal"/>
    <s v="Computer"/>
    <x v="5"/>
    <d v="2024-06-23T00:00:00"/>
    <n v="941.3"/>
    <n v="5"/>
    <n v="4706.5"/>
    <m/>
    <x v="30"/>
  </r>
  <r>
    <s v="663-10-6264"/>
    <x v="2"/>
    <s v="Hokitika"/>
    <s v="Member"/>
    <s v="Computer"/>
    <x v="3"/>
    <d v="2024-01-29T00:00:00"/>
    <n v="780.69999999999993"/>
    <n v="9"/>
    <n v="7026.3"/>
    <m/>
    <x v="31"/>
  </r>
  <r>
    <s v="840-27-5580"/>
    <x v="2"/>
    <s v="Hokitika"/>
    <s v="Normal"/>
    <s v="Computer"/>
    <x v="3"/>
    <d v="2022-09-21T00:00:00"/>
    <n v="837.8"/>
    <n v="8"/>
    <n v="6702.4"/>
    <m/>
    <x v="32"/>
  </r>
  <r>
    <s v="237-20-8362"/>
    <x v="0"/>
    <s v="Greymouth"/>
    <s v="Normal"/>
    <s v="Phone"/>
    <x v="0"/>
    <d v="2025-02-26T00:00:00"/>
    <n v="965.8"/>
    <n v="2"/>
    <n v="1931.6"/>
    <m/>
    <x v="33"/>
  </r>
  <r>
    <s v="480-96-6115"/>
    <x v="1"/>
    <s v="Westport"/>
    <s v="Member"/>
    <s v="Phone"/>
    <x v="4"/>
    <d v="2024-11-18T00:00:00"/>
    <n v="994.2"/>
    <n v="4"/>
    <n v="3976.8"/>
    <m/>
    <x v="34"/>
  </r>
  <r>
    <s v="762-16-2812"/>
    <x v="1"/>
    <s v="Westport"/>
    <s v="Member"/>
    <s v="Computer"/>
    <x v="3"/>
    <d v="2023-03-06T00:00:00"/>
    <n v="681.2"/>
    <n v="1"/>
    <n v="681.2"/>
    <m/>
    <x v="35"/>
  </r>
  <r>
    <s v="802-54-5402"/>
    <x v="0"/>
    <s v="Greymouth"/>
    <s v="Member"/>
    <s v="Computer"/>
    <x v="3"/>
    <d v="2023-06-09T00:00:00"/>
    <n v="626.19999999999993"/>
    <n v="5"/>
    <n v="3131"/>
    <m/>
    <x v="36"/>
  </r>
  <r>
    <s v="603-80-6354"/>
    <x v="0"/>
    <s v="Greymouth"/>
    <s v="Normal"/>
    <s v="Computer"/>
    <x v="1"/>
    <d v="2023-12-16T00:00:00"/>
    <n v="608.80000000000007"/>
    <n v="9"/>
    <n v="5479.2"/>
    <m/>
    <x v="37"/>
  </r>
  <r>
    <s v="502-92-6406"/>
    <x v="1"/>
    <s v="Westport"/>
    <s v="Normal"/>
    <s v="Phone"/>
    <x v="0"/>
    <d v="2022-09-19T00:00:00"/>
    <n v="549.20000000000005"/>
    <n v="8"/>
    <n v="4393.6000000000004"/>
    <m/>
    <x v="38"/>
  </r>
  <r>
    <s v="634-56-8222"/>
    <x v="2"/>
    <s v="Hokitika"/>
    <s v="Member"/>
    <s v="Computer"/>
    <x v="2"/>
    <d v="2023-08-30T00:00:00"/>
    <n v="301.2"/>
    <n v="8"/>
    <n v="2409.6"/>
    <m/>
    <x v="39"/>
  </r>
  <r>
    <s v="109-34-2328"/>
    <x v="2"/>
    <s v="Hokitika"/>
    <s v="Member"/>
    <s v="Computer"/>
    <x v="2"/>
    <d v="2023-03-26T00:00:00"/>
    <n v="867.2"/>
    <n v="1"/>
    <n v="867.2"/>
    <m/>
    <x v="40"/>
  </r>
  <r>
    <s v="833-78-3458"/>
    <x v="1"/>
    <s v="Westport"/>
    <s v="Member"/>
    <s v="Computer"/>
    <x v="2"/>
    <d v="2023-09-06T00:00:00"/>
    <n v="561.1"/>
    <n v="2"/>
    <n v="1122.2"/>
    <m/>
    <x v="41"/>
  </r>
  <r>
    <s v="792-33-9733"/>
    <x v="2"/>
    <s v="Hokitika"/>
    <s v="Member"/>
    <s v="Computer"/>
    <x v="3"/>
    <d v="2024-07-14T00:00:00"/>
    <n v="691.2"/>
    <n v="6"/>
    <n v="4147.2000000000007"/>
    <m/>
    <x v="42"/>
  </r>
  <r>
    <s v="879-34-3582"/>
    <x v="1"/>
    <s v="Westport"/>
    <s v="Member"/>
    <s v="Phone"/>
    <x v="4"/>
    <d v="2025-02-27T00:00:00"/>
    <n v="987"/>
    <n v="8"/>
    <n v="7896"/>
    <m/>
    <x v="43"/>
  </r>
  <r>
    <s v="753-94-7517"/>
    <x v="1"/>
    <s v="Westport"/>
    <s v="Member"/>
    <s v="Computer"/>
    <x v="0"/>
    <d v="2022-09-24T00:00:00"/>
    <n v="153.69999999999999"/>
    <n v="2"/>
    <n v="307.39999999999998"/>
    <m/>
    <x v="44"/>
  </r>
  <r>
    <s v="188-99-5694"/>
    <x v="2"/>
    <s v="Hokitika"/>
    <s v="Member"/>
    <s v="Computer"/>
    <x v="1"/>
    <d v="2024-12-08T00:00:00"/>
    <n v="939.59999999999991"/>
    <n v="4"/>
    <n v="3758.3999999999996"/>
    <m/>
    <x v="45"/>
  </r>
  <r>
    <s v="825-32-6777"/>
    <x v="2"/>
    <s v="Hokitika"/>
    <s v="Member"/>
    <s v="Computer"/>
    <x v="0"/>
    <d v="2023-11-19T00:00:00"/>
    <n v="566.9"/>
    <n v="9"/>
    <n v="5102.0999999999995"/>
    <m/>
    <x v="46"/>
  </r>
  <r>
    <s v="563-53-6671"/>
    <x v="2"/>
    <s v="Hokitika"/>
    <s v="Member"/>
    <s v="Phone"/>
    <x v="4"/>
    <d v="2023-07-14T00:00:00"/>
    <n v="200.10000000000002"/>
    <n v="9"/>
    <n v="1800.9"/>
    <m/>
    <x v="47"/>
  </r>
  <r>
    <s v="182-87-3709"/>
    <x v="2"/>
    <s v="Hokitika"/>
    <s v="Member"/>
    <s v="Computer"/>
    <x v="1"/>
    <d v="2023-05-26T00:00:00"/>
    <n v="189.3"/>
    <n v="6"/>
    <n v="1135.8"/>
    <m/>
    <x v="48"/>
  </r>
  <r>
    <s v="437-58-6712"/>
    <x v="1"/>
    <s v="Westport"/>
    <s v="Member"/>
    <s v="Computer"/>
    <x v="5"/>
    <d v="2024-11-27T00:00:00"/>
    <n v="826.3"/>
    <n v="10"/>
    <n v="8263"/>
    <m/>
    <x v="49"/>
  </r>
  <r>
    <s v="731-88-5534"/>
    <x v="1"/>
    <s v="Westport"/>
    <s v="Member"/>
    <s v="Phone"/>
    <x v="4"/>
    <d v="2024-03-23T00:00:00"/>
    <n v="914"/>
    <n v="7"/>
    <n v="6398"/>
    <m/>
    <x v="50"/>
  </r>
  <r>
    <s v="637-99-7674"/>
    <x v="0"/>
    <s v="Greymouth"/>
    <s v="Member"/>
    <s v="Phone"/>
    <x v="4"/>
    <d v="2024-04-05T00:00:00"/>
    <n v="445.90000000000003"/>
    <n v="5"/>
    <n v="2229.5"/>
    <m/>
    <x v="51"/>
  </r>
  <r>
    <s v="582-64-8664"/>
    <x v="2"/>
    <s v="Hokitika"/>
    <s v="Member"/>
    <s v="Computer"/>
    <x v="5"/>
    <d v="2022-12-03T00:00:00"/>
    <n v="178.70000000000002"/>
    <n v="4"/>
    <n v="714.80000000000007"/>
    <m/>
    <x v="52"/>
  </r>
  <r>
    <s v="339-90-7053"/>
    <x v="1"/>
    <s v="Westport"/>
    <s v="Member"/>
    <s v="Computer"/>
    <x v="5"/>
    <d v="2022-09-28T00:00:00"/>
    <n v="154.30000000000001"/>
    <n v="1"/>
    <n v="154.30000000000001"/>
    <m/>
    <x v="53"/>
  </r>
  <r>
    <s v="242-78-2017"/>
    <x v="2"/>
    <s v="Hokitika"/>
    <s v="Normal"/>
    <s v="Phone"/>
    <x v="2"/>
    <d v="2024-01-12T00:00:00"/>
    <n v="161.6"/>
    <n v="2"/>
    <n v="323.2"/>
    <m/>
    <x v="54"/>
  </r>
  <r>
    <s v="525-37-9045"/>
    <x v="1"/>
    <s v="Westport"/>
    <s v="Normal"/>
    <s v="Computer"/>
    <x v="1"/>
    <d v="2023-04-02T00:00:00"/>
    <n v="859.80000000000007"/>
    <n v="8"/>
    <n v="6878.4000000000005"/>
    <m/>
    <x v="55"/>
  </r>
  <r>
    <s v="745-54-4513"/>
    <x v="0"/>
    <s v="Greymouth"/>
    <s v="Member"/>
    <s v="Phone"/>
    <x v="2"/>
    <d v="2023-12-26T00:00:00"/>
    <n v="443.40000000000003"/>
    <n v="2"/>
    <n v="886.80000000000007"/>
    <m/>
    <x v="56"/>
  </r>
  <r>
    <s v="597-48-5799"/>
    <x v="0"/>
    <s v="Greymouth"/>
    <s v="Normal"/>
    <s v="Computer"/>
    <x v="0"/>
    <d v="2024-12-18T00:00:00"/>
    <n v="896"/>
    <n v="8"/>
    <n v="7168"/>
    <m/>
    <x v="57"/>
  </r>
  <r>
    <s v="478-63-8035"/>
    <x v="0"/>
    <s v="Greymouth"/>
    <s v="Member"/>
    <s v="Phone"/>
    <x v="2"/>
    <d v="2022-12-02T00:00:00"/>
    <n v="723.5"/>
    <n v="10"/>
    <n v="7235"/>
    <m/>
    <x v="58"/>
  </r>
  <r>
    <s v="661-10-3942"/>
    <x v="1"/>
    <s v="Westport"/>
    <s v="Normal"/>
    <s v="Computer"/>
    <x v="1"/>
    <d v="2024-06-11T00:00:00"/>
    <n v="306.10000000000002"/>
    <n v="6"/>
    <n v="1836.6"/>
    <m/>
    <x v="59"/>
  </r>
  <r>
    <s v="172-60-2598"/>
    <x v="1"/>
    <s v="Westport"/>
    <s v="Member"/>
    <s v="Computer"/>
    <x v="3"/>
    <d v="2023-05-05T00:00:00"/>
    <n v="247.39999999999998"/>
    <n v="3"/>
    <n v="742.2"/>
    <m/>
    <x v="60"/>
  </r>
  <r>
    <s v="471-89-3236"/>
    <x v="1"/>
    <s v="Westport"/>
    <s v="Normal"/>
    <s v="Phone"/>
    <x v="2"/>
    <d v="2024-07-04T00:00:00"/>
    <n v="557.29999999999995"/>
    <n v="6"/>
    <n v="3343.8"/>
    <m/>
    <x v="61"/>
  </r>
  <r>
    <s v="468-33-5133"/>
    <x v="2"/>
    <s v="Hokitika"/>
    <s v="Member"/>
    <s v="Computer"/>
    <x v="3"/>
    <d v="2024-12-18T00:00:00"/>
    <n v="550.70000000000005"/>
    <n v="9"/>
    <n v="4956.3"/>
    <m/>
    <x v="62"/>
  </r>
  <r>
    <s v="806-98-7482"/>
    <x v="0"/>
    <s v="Greymouth"/>
    <s v="Member"/>
    <s v="Computer"/>
    <x v="3"/>
    <d v="2024-02-27T00:00:00"/>
    <n v="158.1"/>
    <n v="10"/>
    <n v="1581"/>
    <m/>
    <x v="63"/>
  </r>
  <r>
    <s v="619-46-1458"/>
    <x v="2"/>
    <s v="Hokitika"/>
    <s v="Member"/>
    <s v="Computer"/>
    <x v="0"/>
    <d v="2023-07-20T00:00:00"/>
    <n v="757.4"/>
    <n v="4"/>
    <n v="3029.6"/>
    <m/>
    <x v="64"/>
  </r>
  <r>
    <s v="495-96-5094"/>
    <x v="0"/>
    <s v="Greymouth"/>
    <s v="Member"/>
    <s v="Computer"/>
    <x v="0"/>
    <d v="2023-03-10T00:00:00"/>
    <n v="158.69999999999999"/>
    <n v="10"/>
    <n v="1587"/>
    <m/>
    <x v="65"/>
  </r>
  <r>
    <s v="457-23-2290"/>
    <x v="1"/>
    <s v="Westport"/>
    <s v="Normal"/>
    <s v="Phone"/>
    <x v="0"/>
    <d v="2024-09-02T00:00:00"/>
    <n v="334.7"/>
    <n v="2"/>
    <n v="669.4"/>
    <m/>
    <x v="66"/>
  </r>
  <r>
    <s v="645-70-4237"/>
    <x v="2"/>
    <s v="Hokitika"/>
    <s v="Member"/>
    <s v="Computer"/>
    <x v="5"/>
    <d v="2023-09-14T00:00:00"/>
    <n v="976.1"/>
    <n v="6"/>
    <n v="5856.5999999999995"/>
    <m/>
    <x v="67"/>
  </r>
  <r>
    <s v="950-64-7361"/>
    <x v="0"/>
    <s v="Greymouth"/>
    <s v="Normal"/>
    <s v="Computer"/>
    <x v="3"/>
    <d v="2024-10-09T00:00:00"/>
    <n v="787.69999999999993"/>
    <n v="10"/>
    <n v="7877"/>
    <m/>
    <x v="68"/>
  </r>
  <r>
    <s v="955-11-6763"/>
    <x v="0"/>
    <s v="Greymouth"/>
    <s v="Member"/>
    <s v="Phone"/>
    <x v="0"/>
    <d v="2024-08-11T00:00:00"/>
    <n v="183.29999999999998"/>
    <n v="1"/>
    <n v="183.29999999999998"/>
    <m/>
    <x v="69"/>
  </r>
  <r>
    <s v="907-11-7972"/>
    <x v="1"/>
    <s v="Westport"/>
    <s v="Normal"/>
    <s v="Phone"/>
    <x v="4"/>
    <d v="2022-11-11T00:00:00"/>
    <n v="894.80000000000007"/>
    <n v="10"/>
    <n v="8948"/>
    <m/>
    <x v="70"/>
  </r>
  <r>
    <s v="581-52-6211"/>
    <x v="1"/>
    <s v="Westport"/>
    <s v="Normal"/>
    <s v="Computer"/>
    <x v="5"/>
    <d v="2024-04-04T00:00:00"/>
    <n v="621.19999999999993"/>
    <n v="10"/>
    <n v="6212"/>
    <m/>
    <x v="71"/>
  </r>
  <r>
    <s v="745-59-9465"/>
    <x v="2"/>
    <s v="Hokitika"/>
    <s v="Member"/>
    <s v="Phone"/>
    <x v="4"/>
    <d v="2023-06-02T00:00:00"/>
    <n v="485.20000000000005"/>
    <n v="3"/>
    <n v="1455.6"/>
    <m/>
    <x v="72"/>
  </r>
  <r>
    <s v="985-74-1394"/>
    <x v="1"/>
    <s v="Westport"/>
    <s v="Normal"/>
    <s v="Computer"/>
    <x v="1"/>
    <d v="2024-11-18T00:00:00"/>
    <n v="759.09999999999991"/>
    <n v="6"/>
    <n v="4554.5999999999995"/>
    <m/>
    <x v="73"/>
  </r>
  <r>
    <s v="704-13-7916"/>
    <x v="0"/>
    <s v="Greymouth"/>
    <s v="Normal"/>
    <s v="Phone"/>
    <x v="2"/>
    <d v="2024-05-08T00:00:00"/>
    <n v="746.7"/>
    <n v="9"/>
    <n v="6720.2999999999993"/>
    <m/>
    <x v="74"/>
  </r>
  <r>
    <s v="154-48-8596"/>
    <x v="1"/>
    <s v="Westport"/>
    <s v="Normal"/>
    <s v="Computer"/>
    <x v="1"/>
    <d v="2024-10-13T00:00:00"/>
    <n v="416.5"/>
    <n v="10"/>
    <n v="4165"/>
    <m/>
    <x v="75"/>
  </r>
  <r>
    <s v="835-19-3813"/>
    <x v="1"/>
    <s v="Westport"/>
    <s v="Member"/>
    <s v="Computer"/>
    <x v="5"/>
    <d v="2023-02-18T00:00:00"/>
    <n v="490.4"/>
    <n v="9"/>
    <n v="4413.6000000000004"/>
    <m/>
    <x v="76"/>
  </r>
  <r>
    <s v="285-80-5309"/>
    <x v="0"/>
    <s v="Greymouth"/>
    <s v="Member"/>
    <s v="Computer"/>
    <x v="5"/>
    <d v="2024-05-08T00:00:00"/>
    <n v="200.10000000000002"/>
    <n v="9"/>
    <n v="1800.9"/>
    <m/>
    <x v="47"/>
  </r>
  <r>
    <s v="425-26-9638"/>
    <x v="1"/>
    <s v="Westport"/>
    <s v="Member"/>
    <s v="Phone"/>
    <x v="4"/>
    <d v="2023-07-05T00:00:00"/>
    <n v="783.1"/>
    <n v="10"/>
    <n v="7831"/>
    <m/>
    <x v="77"/>
  </r>
  <r>
    <s v="788-37-3849"/>
    <x v="1"/>
    <s v="Westport"/>
    <s v="Normal"/>
    <s v="Phone"/>
    <x v="0"/>
    <d v="2023-10-05T00:00:00"/>
    <n v="203.79999999999998"/>
    <n v="5"/>
    <n v="1019"/>
    <m/>
    <x v="78"/>
  </r>
  <r>
    <s v="447-62-5077"/>
    <x v="1"/>
    <s v="Westport"/>
    <s v="Normal"/>
    <s v="Phone"/>
    <x v="0"/>
    <d v="2023-09-26T00:00:00"/>
    <n v="991.9"/>
    <n v="6"/>
    <n v="5951.4"/>
    <m/>
    <x v="79"/>
  </r>
  <r>
    <s v="299-88-6738"/>
    <x v="2"/>
    <s v="Hokitika"/>
    <s v="Normal"/>
    <s v="Phone"/>
    <x v="4"/>
    <d v="2022-09-09T00:00:00"/>
    <n v="966.80000000000007"/>
    <n v="3"/>
    <n v="2900.4"/>
    <m/>
    <x v="80"/>
  </r>
  <r>
    <s v="576-45-2880"/>
    <x v="1"/>
    <s v="Westport"/>
    <s v="Normal"/>
    <s v="Phone"/>
    <x v="4"/>
    <d v="2022-12-19T00:00:00"/>
    <n v="192.5"/>
    <n v="8"/>
    <n v="1540"/>
    <m/>
    <x v="81"/>
  </r>
  <r>
    <s v="979-80-6216"/>
    <x v="1"/>
    <s v="Westport"/>
    <s v="Member"/>
    <s v="Phone"/>
    <x v="4"/>
    <d v="2024-05-02T00:00:00"/>
    <n v="803.6"/>
    <n v="4"/>
    <n v="3214.4"/>
    <m/>
    <x v="82"/>
  </r>
  <r>
    <s v="331-47-6798"/>
    <x v="1"/>
    <s v="Westport"/>
    <s v="Member"/>
    <s v="Computer"/>
    <x v="3"/>
    <d v="2022-10-25T00:00:00"/>
    <n v="489.09999999999997"/>
    <n v="5"/>
    <n v="2445.5"/>
    <m/>
    <x v="83"/>
  </r>
  <r>
    <s v="148-89-6313"/>
    <x v="1"/>
    <s v="Westport"/>
    <s v="Normal"/>
    <s v="Computer"/>
    <x v="3"/>
    <d v="2024-05-07T00:00:00"/>
    <n v="830.6"/>
    <n v="7"/>
    <n v="5814.2"/>
    <m/>
    <x v="84"/>
  </r>
  <r>
    <s v="983-86-2651"/>
    <x v="1"/>
    <s v="Westport"/>
    <s v="Normal"/>
    <s v="Computer"/>
    <x v="5"/>
    <d v="2023-04-17T00:00:00"/>
    <n v="765.19999999999993"/>
    <n v="5"/>
    <n v="3826"/>
    <m/>
    <x v="85"/>
  </r>
  <r>
    <s v="641-86-4995"/>
    <x v="0"/>
    <s v="Greymouth"/>
    <s v="Member"/>
    <s v="Phone"/>
    <x v="4"/>
    <d v="2023-01-12T00:00:00"/>
    <n v="493.8"/>
    <n v="7"/>
    <n v="3456.6000000000004"/>
    <m/>
    <x v="86"/>
  </r>
  <r>
    <s v="694-29-9509"/>
    <x v="0"/>
    <s v="Greymouth"/>
    <s v="Normal"/>
    <s v="Computer"/>
    <x v="3"/>
    <d v="2023-10-18T00:00:00"/>
    <n v="424.7"/>
    <n v="1"/>
    <n v="424.7"/>
    <m/>
    <x v="87"/>
  </r>
  <r>
    <s v="744-23-6317"/>
    <x v="2"/>
    <s v="Hokitika"/>
    <s v="Normal"/>
    <s v="Phone"/>
    <x v="0"/>
    <d v="2022-09-17T00:00:00"/>
    <n v="769.9"/>
    <n v="6"/>
    <n v="4619.3999999999996"/>
    <m/>
    <x v="88"/>
  </r>
  <r>
    <s v="305-27-8490"/>
    <x v="1"/>
    <s v="Westport"/>
    <s v="Member"/>
    <s v="Phone"/>
    <x v="2"/>
    <d v="2025-03-20T00:00:00"/>
    <n v="473.8"/>
    <n v="4"/>
    <n v="1895.2"/>
    <m/>
    <x v="89"/>
  </r>
  <r>
    <s v="652-45-4207"/>
    <x v="1"/>
    <s v="Westport"/>
    <s v="Normal"/>
    <s v="Computer"/>
    <x v="3"/>
    <d v="2023-11-13T00:00:00"/>
    <n v="448.6"/>
    <n v="10"/>
    <n v="4486"/>
    <m/>
    <x v="90"/>
  </r>
  <r>
    <s v="437-25-9405"/>
    <x v="0"/>
    <s v="Greymouth"/>
    <s v="Member"/>
    <s v="Computer"/>
    <x v="3"/>
    <d v="2023-02-12T00:00:00"/>
    <n v="219.8"/>
    <n v="7"/>
    <n v="1538.6000000000001"/>
    <m/>
    <x v="91"/>
  </r>
  <r>
    <s v="930-51-3333"/>
    <x v="2"/>
    <s v="Hokitika"/>
    <s v="Member"/>
    <s v="Computer"/>
    <x v="0"/>
    <d v="2023-12-27T00:00:00"/>
    <n v="643.6"/>
    <n v="9"/>
    <n v="5792.4"/>
    <m/>
    <x v="92"/>
  </r>
  <r>
    <s v="500-90-3156"/>
    <x v="1"/>
    <s v="Westport"/>
    <s v="Normal"/>
    <s v="Computer"/>
    <x v="0"/>
    <d v="2024-03-24T00:00:00"/>
    <n v="897.5"/>
    <n v="1"/>
    <n v="897.5"/>
    <m/>
    <x v="93"/>
  </r>
  <r>
    <s v="367-75-8719"/>
    <x v="0"/>
    <s v="Greymouth"/>
    <s v="Normal"/>
    <s v="Computer"/>
    <x v="1"/>
    <d v="2023-04-04T00:00:00"/>
    <n v="971.59999999999991"/>
    <n v="1"/>
    <n v="971.59999999999991"/>
    <m/>
    <x v="94"/>
  </r>
  <r>
    <s v="697-94-6355"/>
    <x v="2"/>
    <s v="Hokitika"/>
    <s v="Normal"/>
    <s v="Computer"/>
    <x v="0"/>
    <d v="2023-07-29T00:00:00"/>
    <n v="878.7"/>
    <n v="10"/>
    <n v="8787"/>
    <m/>
    <x v="95"/>
  </r>
  <r>
    <s v="882-56-6471"/>
    <x v="1"/>
    <s v="Westport"/>
    <s v="Normal"/>
    <s v="Computer"/>
    <x v="1"/>
    <d v="2022-10-08T00:00:00"/>
    <n v="124.5"/>
    <n v="6"/>
    <n v="747"/>
    <m/>
    <x v="96"/>
  </r>
  <r>
    <s v="747-14-1698"/>
    <x v="0"/>
    <s v="Greymouth"/>
    <s v="Normal"/>
    <s v="Phone"/>
    <x v="4"/>
    <d v="2025-02-26T00:00:00"/>
    <n v="527.5"/>
    <n v="3"/>
    <n v="1582.5"/>
    <m/>
    <x v="97"/>
  </r>
  <r>
    <s v="328-27-7099"/>
    <x v="2"/>
    <s v="Hokitika"/>
    <s v="Normal"/>
    <s v="Phone"/>
    <x v="2"/>
    <d v="2023-01-22T00:00:00"/>
    <n v="827"/>
    <n v="6"/>
    <n v="4962"/>
    <m/>
    <x v="98"/>
  </r>
  <r>
    <s v="147-53-9396"/>
    <x v="1"/>
    <s v="Westport"/>
    <s v="Member"/>
    <s v="Computer"/>
    <x v="5"/>
    <d v="2023-06-09T00:00:00"/>
    <n v="487.1"/>
    <n v="1"/>
    <n v="487.1"/>
    <m/>
    <x v="99"/>
  </r>
  <r>
    <s v="586-44-5334"/>
    <x v="1"/>
    <s v="Westport"/>
    <s v="Normal"/>
    <s v="Computer"/>
    <x v="5"/>
    <d v="2023-11-28T00:00:00"/>
    <n v="785.5"/>
    <n v="9"/>
    <n v="7069.5"/>
    <m/>
    <x v="100"/>
  </r>
  <r>
    <s v="828-31-8226"/>
    <x v="1"/>
    <s v="Westport"/>
    <s v="Normal"/>
    <s v="Computer"/>
    <x v="1"/>
    <d v="2024-12-26T00:00:00"/>
    <n v="230.7"/>
    <n v="9"/>
    <n v="2076.3000000000002"/>
    <m/>
    <x v="101"/>
  </r>
  <r>
    <s v="769-16-6373"/>
    <x v="0"/>
    <s v="Greymouth"/>
    <s v="Normal"/>
    <s v="Phone"/>
    <x v="4"/>
    <d v="2024-08-20T00:00:00"/>
    <n v="582.6"/>
    <n v="6"/>
    <n v="3495.6"/>
    <m/>
    <x v="102"/>
  </r>
  <r>
    <s v="348-39-4372"/>
    <x v="2"/>
    <s v="Hokitika"/>
    <s v="Normal"/>
    <s v="Computer"/>
    <x v="0"/>
    <d v="2024-07-27T00:00:00"/>
    <n v="303.5"/>
    <n v="7"/>
    <n v="2124.5"/>
    <m/>
    <x v="103"/>
  </r>
  <r>
    <s v="388-84-4377"/>
    <x v="0"/>
    <s v="Greymouth"/>
    <s v="Member"/>
    <s v="Computer"/>
    <x v="1"/>
    <d v="2022-09-03T00:00:00"/>
    <n v="886.7"/>
    <n v="10"/>
    <n v="8867"/>
    <m/>
    <x v="104"/>
  </r>
  <r>
    <s v="885-77-1105"/>
    <x v="1"/>
    <s v="Westport"/>
    <s v="Normal"/>
    <s v="Computer"/>
    <x v="5"/>
    <d v="2023-10-17T00:00:00"/>
    <n v="273.8"/>
    <n v="6"/>
    <n v="1642.8"/>
    <m/>
    <x v="105"/>
  </r>
  <r>
    <s v="394-79-8594"/>
    <x v="0"/>
    <s v="Greymouth"/>
    <s v="Normal"/>
    <s v="Computer"/>
    <x v="3"/>
    <d v="2024-09-14T00:00:00"/>
    <n v="621.30000000000007"/>
    <n v="6"/>
    <n v="3727.7999999999997"/>
    <m/>
    <x v="106"/>
  </r>
  <r>
    <s v="526-87-4004"/>
    <x v="1"/>
    <s v="Westport"/>
    <s v="Normal"/>
    <s v="Phone"/>
    <x v="4"/>
    <d v="2023-04-16T00:00:00"/>
    <n v="339.79999999999995"/>
    <n v="9"/>
    <n v="3058.2"/>
    <m/>
    <x v="107"/>
  </r>
  <r>
    <s v="350-90-2380"/>
    <x v="1"/>
    <s v="Westport"/>
    <s v="Member"/>
    <s v="Computer"/>
    <x v="1"/>
    <d v="2024-07-24T00:00:00"/>
    <n v="819.7"/>
    <n v="10"/>
    <n v="8197"/>
    <m/>
    <x v="108"/>
  </r>
  <r>
    <s v="559-74-2849"/>
    <x v="2"/>
    <s v="Hokitika"/>
    <s v="Member"/>
    <s v="Computer"/>
    <x v="3"/>
    <d v="2023-05-08T00:00:00"/>
    <n v="164.89999999999998"/>
    <n v="2"/>
    <n v="329.79999999999995"/>
    <m/>
    <x v="109"/>
  </r>
  <r>
    <s v="219-77-6327"/>
    <x v="1"/>
    <s v="Westport"/>
    <s v="Member"/>
    <s v="Phone"/>
    <x v="0"/>
    <d v="2024-01-17T00:00:00"/>
    <n v="982.09999999999991"/>
    <n v="3"/>
    <n v="2946.3"/>
    <m/>
    <x v="110"/>
  </r>
  <r>
    <s v="446-48-5109"/>
    <x v="2"/>
    <s v="Hokitika"/>
    <s v="Normal"/>
    <s v="Computer"/>
    <x v="5"/>
    <d v="2023-09-20T00:00:00"/>
    <n v="728.40000000000009"/>
    <n v="7"/>
    <n v="5098.8"/>
    <m/>
    <x v="111"/>
  </r>
  <r>
    <s v="657-47-9678"/>
    <x v="0"/>
    <s v="Greymouth"/>
    <s v="Member"/>
    <s v="Phone"/>
    <x v="2"/>
    <d v="2024-01-25T00:00:00"/>
    <n v="580.70000000000005"/>
    <n v="9"/>
    <n v="5226.3"/>
    <m/>
    <x v="112"/>
  </r>
  <r>
    <s v="387-26-7343"/>
    <x v="1"/>
    <s v="Westport"/>
    <s v="Member"/>
    <s v="Phone"/>
    <x v="2"/>
    <d v="2024-11-05T00:00:00"/>
    <n v="807.90000000000009"/>
    <n v="9"/>
    <n v="7271.1"/>
    <m/>
    <x v="113"/>
  </r>
  <r>
    <s v="564-37-8929"/>
    <x v="1"/>
    <s v="Westport"/>
    <s v="Normal"/>
    <s v="Computer"/>
    <x v="5"/>
    <d v="2023-06-27T00:00:00"/>
    <n v="270.2"/>
    <n v="3"/>
    <n v="810.6"/>
    <m/>
    <x v="114"/>
  </r>
  <r>
    <s v="101-67-5453"/>
    <x v="2"/>
    <s v="Hokitika"/>
    <s v="Member"/>
    <s v="Computer"/>
    <x v="5"/>
    <d v="2023-02-17T00:00:00"/>
    <n v="219.4"/>
    <n v="5"/>
    <n v="1097"/>
    <m/>
    <x v="115"/>
  </r>
  <r>
    <s v="324-24-4957"/>
    <x v="2"/>
    <s v="Hokitika"/>
    <s v="Member"/>
    <s v="Computer"/>
    <x v="5"/>
    <d v="2024-10-05T00:00:00"/>
    <n v="513.6"/>
    <n v="1"/>
    <n v="513.6"/>
    <m/>
    <x v="116"/>
  </r>
  <r>
    <s v="473-98-8819"/>
    <x v="0"/>
    <s v="Greymouth"/>
    <s v="Normal"/>
    <s v="Phone"/>
    <x v="4"/>
    <d v="2023-03-15T00:00:00"/>
    <n v="109.60000000000001"/>
    <n v="10"/>
    <n v="1096"/>
    <m/>
    <x v="117"/>
  </r>
  <r>
    <s v="745-56-9050"/>
    <x v="2"/>
    <s v="Hokitika"/>
    <s v="Normal"/>
    <s v="Phone"/>
    <x v="2"/>
    <d v="2024-02-18T00:00:00"/>
    <n v="534.4"/>
    <n v="2"/>
    <n v="1068.8"/>
    <m/>
    <x v="118"/>
  </r>
  <r>
    <s v="600-79-6230"/>
    <x v="0"/>
    <s v="Greymouth"/>
    <s v="Normal"/>
    <s v="Computer"/>
    <x v="1"/>
    <d v="2024-08-05T00:00:00"/>
    <n v="995.6"/>
    <n v="8"/>
    <n v="7964.8"/>
    <m/>
    <x v="119"/>
  </r>
  <r>
    <s v="874-97-5263"/>
    <x v="1"/>
    <s v="Westport"/>
    <s v="Member"/>
    <s v="Computer"/>
    <x v="3"/>
    <d v="2025-02-23T00:00:00"/>
    <n v="571.19999999999993"/>
    <n v="7"/>
    <n v="3998.3999999999996"/>
    <m/>
    <x v="120"/>
  </r>
  <r>
    <s v="946-80-4512"/>
    <x v="2"/>
    <s v="Hokitika"/>
    <s v="Member"/>
    <s v="Computer"/>
    <x v="3"/>
    <d v="2024-01-16T00:00:00"/>
    <n v="999.59999999999991"/>
    <n v="9"/>
    <n v="8996.4"/>
    <m/>
    <x v="121"/>
  </r>
  <r>
    <s v="490-38-3393"/>
    <x v="1"/>
    <s v="Westport"/>
    <s v="Member"/>
    <s v="Phone"/>
    <x v="2"/>
    <d v="2022-10-19T00:00:00"/>
    <n v="639.09999999999991"/>
    <n v="8"/>
    <n v="5112.7999999999993"/>
    <m/>
    <x v="122"/>
  </r>
  <r>
    <s v="635-32-1879"/>
    <x v="2"/>
    <s v="Hokitika"/>
    <s v="Member"/>
    <s v="Computer"/>
    <x v="5"/>
    <d v="2024-10-09T00:00:00"/>
    <n v="564.70000000000005"/>
    <n v="8"/>
    <n v="4517.6000000000004"/>
    <m/>
    <x v="123"/>
  </r>
  <r>
    <s v="869-94-7064"/>
    <x v="0"/>
    <s v="Greymouth"/>
    <s v="Normal"/>
    <s v="Phone"/>
    <x v="2"/>
    <d v="2023-03-19T00:00:00"/>
    <n v="936.9"/>
    <n v="7"/>
    <n v="6558.3"/>
    <m/>
    <x v="124"/>
  </r>
  <r>
    <s v="856-67-9639"/>
    <x v="0"/>
    <s v="Greymouth"/>
    <s v="Normal"/>
    <s v="Computer"/>
    <x v="3"/>
    <d v="2023-07-03T00:00:00"/>
    <n v="322.5"/>
    <n v="5"/>
    <n v="1612.5"/>
    <m/>
    <x v="125"/>
  </r>
  <r>
    <s v="511-87-2217"/>
    <x v="1"/>
    <s v="Westport"/>
    <s v="Normal"/>
    <s v="Computer"/>
    <x v="5"/>
    <d v="2025-01-09T00:00:00"/>
    <n v="317.3"/>
    <n v="9"/>
    <n v="2855.7"/>
    <m/>
    <x v="126"/>
  </r>
  <r>
    <s v="226-77-5832"/>
    <x v="1"/>
    <s v="Westport"/>
    <s v="Member"/>
    <s v="Phone"/>
    <x v="4"/>
    <d v="2023-09-28T00:00:00"/>
    <n v="685.40000000000009"/>
    <n v="8"/>
    <n v="5483.2000000000007"/>
    <m/>
    <x v="127"/>
  </r>
  <r>
    <s v="306-80-5610"/>
    <x v="2"/>
    <s v="Hokitika"/>
    <s v="Normal"/>
    <s v="Computer"/>
    <x v="3"/>
    <d v="2024-09-07T00:00:00"/>
    <n v="902.8"/>
    <n v="9"/>
    <n v="8125.2"/>
    <m/>
    <x v="128"/>
  </r>
  <r>
    <s v="586-53-2610"/>
    <x v="2"/>
    <s v="Hokitika"/>
    <s v="Normal"/>
    <s v="Computer"/>
    <x v="5"/>
    <d v="2023-12-26T00:00:00"/>
    <n v="396.2"/>
    <n v="7"/>
    <n v="2773.3999999999996"/>
    <m/>
    <x v="129"/>
  </r>
  <r>
    <s v="716-69-5694"/>
    <x v="0"/>
    <s v="Greymouth"/>
    <s v="Member"/>
    <s v="Computer"/>
    <x v="3"/>
    <d v="2024-02-09T00:00:00"/>
    <n v="921.3"/>
    <n v="6"/>
    <n v="5527.7999999999993"/>
    <m/>
    <x v="130"/>
  </r>
  <r>
    <s v="790-31-4742"/>
    <x v="2"/>
    <s v="Hokitika"/>
    <s v="Normal"/>
    <s v="Computer"/>
    <x v="3"/>
    <d v="2024-03-23T00:00:00"/>
    <n v="348.40000000000003"/>
    <n v="4"/>
    <n v="1393.6000000000001"/>
    <m/>
    <x v="131"/>
  </r>
  <r>
    <s v="320-57-5645"/>
    <x v="2"/>
    <s v="Hokitika"/>
    <s v="Member"/>
    <s v="Computer"/>
    <x v="1"/>
    <d v="2024-10-11T00:00:00"/>
    <n v="874.5"/>
    <n v="6"/>
    <n v="5247"/>
    <m/>
    <x v="132"/>
  </r>
  <r>
    <s v="562-59-5379"/>
    <x v="1"/>
    <s v="Westport"/>
    <s v="Normal"/>
    <s v="Phone"/>
    <x v="0"/>
    <d v="2023-08-01T00:00:00"/>
    <n v="813"/>
    <n v="6"/>
    <n v="4878"/>
    <m/>
    <x v="133"/>
  </r>
  <r>
    <s v="357-89-3820"/>
    <x v="1"/>
    <s v="Westport"/>
    <s v="Normal"/>
    <s v="Computer"/>
    <x v="5"/>
    <d v="2024-03-02T00:00:00"/>
    <n v="902.2"/>
    <n v="3"/>
    <n v="2706.6000000000004"/>
    <m/>
    <x v="134"/>
  </r>
  <r>
    <s v="103-62-9795"/>
    <x v="0"/>
    <s v="Greymouth"/>
    <s v="Normal"/>
    <s v="Computer"/>
    <x v="1"/>
    <d v="2023-09-09T00:00:00"/>
    <n v="263.09999999999997"/>
    <n v="5"/>
    <n v="1315.5"/>
    <m/>
    <x v="135"/>
  </r>
  <r>
    <s v="833-56-7918"/>
    <x v="0"/>
    <s v="Greymouth"/>
    <s v="Member"/>
    <s v="Phone"/>
    <x v="2"/>
    <d v="2024-10-03T00:00:00"/>
    <n v="344.20000000000005"/>
    <n v="6"/>
    <n v="2065.2000000000003"/>
    <m/>
    <x v="136"/>
  </r>
  <r>
    <s v="669-89-2809"/>
    <x v="2"/>
    <s v="Hokitika"/>
    <s v="Normal"/>
    <s v="Computer"/>
    <x v="3"/>
    <d v="2023-04-04T00:00:00"/>
    <n v="519.09999999999991"/>
    <n v="10"/>
    <n v="5191"/>
    <m/>
    <x v="137"/>
  </r>
  <r>
    <s v="944-35-5919"/>
    <x v="0"/>
    <s v="Greymouth"/>
    <s v="Normal"/>
    <s v="Computer"/>
    <x v="3"/>
    <d v="2024-10-20T00:00:00"/>
    <n v="725"/>
    <n v="8"/>
    <n v="5800"/>
    <m/>
    <x v="138"/>
  </r>
  <r>
    <s v="719-21-3781"/>
    <x v="1"/>
    <s v="Westport"/>
    <s v="Member"/>
    <s v="Computer"/>
    <x v="3"/>
    <d v="2024-01-11T00:00:00"/>
    <n v="898"/>
    <n v="10"/>
    <n v="8980"/>
    <m/>
    <x v="139"/>
  </r>
  <r>
    <s v="311-95-7561"/>
    <x v="1"/>
    <s v="Westport"/>
    <s v="Member"/>
    <s v="Computer"/>
    <x v="0"/>
    <d v="2024-03-01T00:00:00"/>
    <n v="905"/>
    <n v="10"/>
    <n v="9050"/>
    <m/>
    <x v="140"/>
  </r>
  <r>
    <s v="282-25-1203"/>
    <x v="1"/>
    <s v="Westport"/>
    <s v="Member"/>
    <s v="Phone"/>
    <x v="0"/>
    <d v="2025-02-16T00:00:00"/>
    <n v="686"/>
    <n v="10"/>
    <n v="6860"/>
    <m/>
    <x v="141"/>
  </r>
  <r>
    <s v="512-90-4834"/>
    <x v="1"/>
    <s v="Westport"/>
    <s v="Member"/>
    <s v="Phone"/>
    <x v="4"/>
    <d v="2024-11-04T00:00:00"/>
    <n v="304.10000000000002"/>
    <n v="1"/>
    <n v="304.10000000000002"/>
    <m/>
    <x v="142"/>
  </r>
  <r>
    <s v="310-21-4840"/>
    <x v="0"/>
    <s v="Greymouth"/>
    <s v="Normal"/>
    <s v="Phone"/>
    <x v="2"/>
    <d v="2023-11-16T00:00:00"/>
    <n v="779.5"/>
    <n v="6"/>
    <n v="4677"/>
    <m/>
    <x v="143"/>
  </r>
  <r>
    <s v="302-77-6505"/>
    <x v="1"/>
    <s v="Westport"/>
    <s v="Normal"/>
    <s v="Phone"/>
    <x v="0"/>
    <d v="2024-02-12T00:00:00"/>
    <n v="462.59999999999997"/>
    <n v="6"/>
    <n v="2775.6"/>
    <m/>
    <x v="144"/>
  </r>
  <r>
    <s v="305-62-5416"/>
    <x v="0"/>
    <s v="Greymouth"/>
    <s v="Member"/>
    <s v="Computer"/>
    <x v="5"/>
    <d v="2023-06-23T00:00:00"/>
    <n v="301.39999999999998"/>
    <n v="10"/>
    <n v="3014"/>
    <m/>
    <x v="145"/>
  </r>
  <r>
    <s v="758-26-5625"/>
    <x v="1"/>
    <s v="Westport"/>
    <s v="Normal"/>
    <s v="Computer"/>
    <x v="0"/>
    <d v="2024-05-29T00:00:00"/>
    <n v="661.4"/>
    <n v="4"/>
    <n v="2645.6"/>
    <m/>
    <x v="146"/>
  </r>
  <r>
    <s v="216-97-2594"/>
    <x v="2"/>
    <s v="Hokitika"/>
    <s v="Member"/>
    <s v="Phone"/>
    <x v="2"/>
    <d v="2023-01-04T00:00:00"/>
    <n v="718.6"/>
    <n v="8"/>
    <n v="5748.8"/>
    <m/>
    <x v="147"/>
  </r>
  <r>
    <s v="815-95-7095"/>
    <x v="0"/>
    <s v="Greymouth"/>
    <s v="Normal"/>
    <s v="Computer"/>
    <x v="0"/>
    <d v="2022-12-01T00:00:00"/>
    <n v="324.60000000000002"/>
    <n v="8"/>
    <n v="2596.8000000000002"/>
    <m/>
    <x v="148"/>
  </r>
  <r>
    <s v="280-67-2924"/>
    <x v="2"/>
    <s v="Hokitika"/>
    <s v="Member"/>
    <s v="Computer"/>
    <x v="5"/>
    <d v="2025-02-22T00:00:00"/>
    <n v="915.40000000000009"/>
    <n v="4"/>
    <n v="3661.6000000000004"/>
    <m/>
    <x v="149"/>
  </r>
  <r>
    <s v="130-95-3219"/>
    <x v="1"/>
    <s v="Westport"/>
    <s v="Member"/>
    <s v="Computer"/>
    <x v="3"/>
    <d v="2024-07-20T00:00:00"/>
    <n v="345.6"/>
    <n v="7"/>
    <n v="2419.1999999999998"/>
    <m/>
    <x v="150"/>
  </r>
  <r>
    <s v="640-75-4335"/>
    <x v="0"/>
    <s v="Greymouth"/>
    <s v="Normal"/>
    <s v="Computer"/>
    <x v="5"/>
    <d v="2023-01-31T00:00:00"/>
    <n v="832.4"/>
    <n v="9"/>
    <n v="7491.5999999999995"/>
    <m/>
    <x v="151"/>
  </r>
  <r>
    <s v="629-17-6301"/>
    <x v="1"/>
    <s v="Westport"/>
    <s v="Normal"/>
    <s v="Phone"/>
    <x v="4"/>
    <d v="2024-01-10T00:00:00"/>
    <n v="164.8"/>
    <n v="6"/>
    <n v="988.8"/>
    <m/>
    <x v="152"/>
  </r>
  <r>
    <s v="793-23-4559"/>
    <x v="1"/>
    <s v="Westport"/>
    <s v="Normal"/>
    <s v="Computer"/>
    <x v="3"/>
    <d v="2024-01-06T00:00:00"/>
    <n v="809.7"/>
    <n v="8"/>
    <n v="6477.6"/>
    <m/>
    <x v="153"/>
  </r>
  <r>
    <s v="113-89-1006"/>
    <x v="0"/>
    <s v="Greymouth"/>
    <s v="Member"/>
    <s v="Phone"/>
    <x v="4"/>
    <d v="2023-06-12T00:00:00"/>
    <n v="922.90000000000009"/>
    <n v="5"/>
    <n v="4614.5"/>
    <m/>
    <x v="154"/>
  </r>
  <r>
    <s v="854-68-6873"/>
    <x v="2"/>
    <s v="Hokitika"/>
    <s v="Member"/>
    <s v="Computer"/>
    <x v="1"/>
    <d v="2023-04-17T00:00:00"/>
    <n v="721.7"/>
    <n v="1"/>
    <n v="721.7"/>
    <m/>
    <x v="155"/>
  </r>
  <r>
    <s v="946-33-2659"/>
    <x v="2"/>
    <s v="Hokitika"/>
    <s v="Normal"/>
    <s v="Phone"/>
    <x v="2"/>
    <d v="2023-03-15T00:00:00"/>
    <n v="502.8"/>
    <n v="5"/>
    <n v="2514"/>
    <m/>
    <x v="156"/>
  </r>
  <r>
    <s v="894-62-6294"/>
    <x v="2"/>
    <s v="Hokitika"/>
    <s v="Member"/>
    <s v="Computer"/>
    <x v="0"/>
    <d v="2024-05-06T00:00:00"/>
    <n v="972.2"/>
    <n v="9"/>
    <n v="8749.7999999999993"/>
    <m/>
    <x v="157"/>
  </r>
  <r>
    <s v="330-41-6411"/>
    <x v="2"/>
    <s v="Hokitika"/>
    <s v="Normal"/>
    <s v="Computer"/>
    <x v="3"/>
    <d v="2024-08-24T00:00:00"/>
    <n v="933.9"/>
    <n v="6"/>
    <n v="5603.4000000000005"/>
    <m/>
    <x v="158"/>
  </r>
  <r>
    <s v="397-17-6759"/>
    <x v="1"/>
    <s v="Westport"/>
    <s v="Normal"/>
    <s v="Phone"/>
    <x v="4"/>
    <d v="2024-12-05T00:00:00"/>
    <n v="431.8"/>
    <n v="8"/>
    <n v="3454.4"/>
    <m/>
    <x v="159"/>
  </r>
  <r>
    <s v="622-65-6666"/>
    <x v="0"/>
    <s v="Greymouth"/>
    <s v="Normal"/>
    <s v="Computer"/>
    <x v="3"/>
    <d v="2024-06-29T00:00:00"/>
    <n v="636.9"/>
    <n v="1"/>
    <n v="636.9"/>
    <m/>
    <x v="160"/>
  </r>
  <r>
    <s v="911-13-1251"/>
    <x v="0"/>
    <s v="Greymouth"/>
    <s v="Normal"/>
    <s v="Phone"/>
    <x v="4"/>
    <d v="2022-12-27T00:00:00"/>
    <n v="457.9"/>
    <n v="7"/>
    <n v="3205.2999999999997"/>
    <m/>
    <x v="161"/>
  </r>
  <r>
    <s v="862-60-2868"/>
    <x v="1"/>
    <s v="Westport"/>
    <s v="Normal"/>
    <s v="Computer"/>
    <x v="3"/>
    <d v="2022-10-03T00:00:00"/>
    <n v="764"/>
    <n v="2"/>
    <n v="1528"/>
    <m/>
    <x v="162"/>
  </r>
  <r>
    <s v="852-60-1867"/>
    <x v="2"/>
    <s v="Hokitika"/>
    <s v="Normal"/>
    <s v="Phone"/>
    <x v="4"/>
    <d v="2023-01-05T00:00:00"/>
    <n v="399"/>
    <n v="10"/>
    <n v="3990"/>
    <m/>
    <x v="163"/>
  </r>
  <r>
    <s v="483-98-4390"/>
    <x v="2"/>
    <s v="Hokitika"/>
    <s v="Member"/>
    <s v="Computer"/>
    <x v="0"/>
    <d v="2024-06-06T00:00:00"/>
    <n v="425.7"/>
    <n v="8"/>
    <n v="3405.6"/>
    <m/>
    <x v="164"/>
  </r>
  <r>
    <s v="303-97-5049"/>
    <x v="1"/>
    <s v="Westport"/>
    <s v="Normal"/>
    <s v="Phone"/>
    <x v="2"/>
    <d v="2023-07-03T00:00:00"/>
    <n v="955.8"/>
    <n v="10"/>
    <n v="9558"/>
    <m/>
    <x v="165"/>
  </r>
  <r>
    <s v="909-69-2287"/>
    <x v="0"/>
    <s v="Greymouth"/>
    <s v="Normal"/>
    <s v="Computer"/>
    <x v="5"/>
    <d v="2024-07-25T00:00:00"/>
    <n v="989.80000000000007"/>
    <n v="10"/>
    <n v="9898"/>
    <m/>
    <x v="166"/>
  </r>
  <r>
    <s v="639-82-7649"/>
    <x v="0"/>
    <s v="Greymouth"/>
    <s v="Normal"/>
    <s v="Phone"/>
    <x v="4"/>
    <d v="2023-10-05T00:00:00"/>
    <n v="512.79999999999995"/>
    <n v="6"/>
    <n v="3076.8"/>
    <m/>
    <x v="167"/>
  </r>
  <r>
    <s v="751-95-9583"/>
    <x v="0"/>
    <s v="Greymouth"/>
    <s v="Member"/>
    <s v="Computer"/>
    <x v="3"/>
    <d v="2022-11-20T00:00:00"/>
    <n v="695.19999999999993"/>
    <n v="7"/>
    <n v="4866.3999999999996"/>
    <m/>
    <x v="168"/>
  </r>
  <r>
    <s v="729-18-3080"/>
    <x v="0"/>
    <s v="Greymouth"/>
    <s v="Normal"/>
    <s v="Computer"/>
    <x v="0"/>
    <d v="2023-08-04T00:00:00"/>
    <n v="700.1"/>
    <n v="5"/>
    <n v="3500.5"/>
    <m/>
    <x v="169"/>
  </r>
  <r>
    <s v="626-12-7923"/>
    <x v="2"/>
    <s v="Hokitika"/>
    <s v="Member"/>
    <s v="Phone"/>
    <x v="4"/>
    <d v="2023-02-23T00:00:00"/>
    <n v="800.5"/>
    <n v="5"/>
    <n v="4002.5"/>
    <m/>
    <x v="170"/>
  </r>
  <r>
    <s v="657-87-2754"/>
    <x v="1"/>
    <s v="Westport"/>
    <s v="Normal"/>
    <s v="Computer"/>
    <x v="1"/>
    <d v="2023-07-01T00:00:00"/>
    <n v="208.5"/>
    <n v="8"/>
    <n v="1668"/>
    <m/>
    <x v="171"/>
  </r>
  <r>
    <s v="542-10-6565"/>
    <x v="2"/>
    <s v="Hokitika"/>
    <s v="Member"/>
    <s v="Computer"/>
    <x v="1"/>
    <d v="2023-05-20T00:00:00"/>
    <n v="528.9"/>
    <n v="6"/>
    <n v="3173.3999999999996"/>
    <m/>
    <x v="172"/>
  </r>
  <r>
    <s v="385-57-4857"/>
    <x v="2"/>
    <s v="Hokitika"/>
    <s v="Normal"/>
    <s v="Phone"/>
    <x v="4"/>
    <d v="2023-02-03T00:00:00"/>
    <n v="197.89999999999998"/>
    <n v="8"/>
    <n v="1583.1999999999998"/>
    <m/>
    <x v="173"/>
  </r>
  <r>
    <s v="116-34-5576"/>
    <x v="0"/>
    <s v="Greymouth"/>
    <s v="Member"/>
    <s v="Phone"/>
    <x v="2"/>
    <d v="2023-08-11T00:00:00"/>
    <n v="338.40000000000003"/>
    <n v="9"/>
    <n v="3045.6"/>
    <m/>
    <x v="174"/>
  </r>
  <r>
    <s v="249-87-5933"/>
    <x v="0"/>
    <s v="Greymouth"/>
    <s v="Member"/>
    <s v="Phone"/>
    <x v="4"/>
    <d v="2025-02-06T00:00:00"/>
    <n v="221.70000000000002"/>
    <n v="8"/>
    <n v="1773.6000000000001"/>
    <m/>
    <x v="175"/>
  </r>
  <r>
    <s v="645-70-4525"/>
    <x v="1"/>
    <s v="Westport"/>
    <s v="Normal"/>
    <s v="Computer"/>
    <x v="5"/>
    <d v="2023-10-21T00:00:00"/>
    <n v="225.10000000000002"/>
    <n v="7"/>
    <n v="1575.6999999999998"/>
    <m/>
    <x v="176"/>
  </r>
  <r>
    <s v="906-47-2509"/>
    <x v="0"/>
    <s v="Greymouth"/>
    <s v="Normal"/>
    <s v="Phone"/>
    <x v="4"/>
    <d v="2023-01-02T00:00:00"/>
    <n v="738.8"/>
    <n v="6"/>
    <n v="4432.7999999999993"/>
    <m/>
    <x v="177"/>
  </r>
  <r>
    <s v="995-32-4610"/>
    <x v="1"/>
    <s v="Westport"/>
    <s v="Member"/>
    <s v="Computer"/>
    <x v="0"/>
    <d v="2024-11-14T00:00:00"/>
    <n v="868"/>
    <n v="3"/>
    <n v="2604"/>
    <m/>
    <x v="178"/>
  </r>
  <r>
    <s v="747-97-1448"/>
    <x v="1"/>
    <s v="Westport"/>
    <s v="Normal"/>
    <s v="Computer"/>
    <x v="5"/>
    <d v="2023-01-24T00:00:00"/>
    <n v="642.6"/>
    <n v="7"/>
    <n v="4498.2"/>
    <m/>
    <x v="179"/>
  </r>
  <r>
    <s v="299-62-9332"/>
    <x v="1"/>
    <s v="Westport"/>
    <s v="Member"/>
    <s v="Phone"/>
    <x v="4"/>
    <d v="2023-08-22T00:00:00"/>
    <n v="384.7"/>
    <n v="8"/>
    <n v="3077.6"/>
    <m/>
    <x v="180"/>
  </r>
  <r>
    <s v="471-86-6728"/>
    <x v="0"/>
    <s v="Greymouth"/>
    <s v="Member"/>
    <s v="Computer"/>
    <x v="3"/>
    <d v="2024-11-24T00:00:00"/>
    <n v="155"/>
    <n v="10"/>
    <n v="1550"/>
    <m/>
    <x v="181"/>
  </r>
  <r>
    <s v="586-83-2773"/>
    <x v="1"/>
    <s v="Westport"/>
    <s v="Normal"/>
    <s v="Phone"/>
    <x v="0"/>
    <d v="2024-08-09T00:00:00"/>
    <n v="343.1"/>
    <n v="8"/>
    <n v="2744.8"/>
    <m/>
    <x v="182"/>
  </r>
  <r>
    <s v="621-31-6329"/>
    <x v="0"/>
    <s v="Greymouth"/>
    <s v="Normal"/>
    <s v="Computer"/>
    <x v="3"/>
    <d v="2023-08-01T00:00:00"/>
    <n v="123.4"/>
    <n v="7"/>
    <n v="863.8"/>
    <m/>
    <x v="183"/>
  </r>
  <r>
    <s v="229-65-4828"/>
    <x v="2"/>
    <s v="Hokitika"/>
    <s v="Member"/>
    <s v="Phone"/>
    <x v="4"/>
    <d v="2023-08-09T00:00:00"/>
    <n v="180.79999999999998"/>
    <n v="3"/>
    <n v="542.4"/>
    <m/>
    <x v="184"/>
  </r>
  <r>
    <s v="872-59-2724"/>
    <x v="2"/>
    <s v="Hokitika"/>
    <s v="Member"/>
    <s v="Phone"/>
    <x v="2"/>
    <d v="2025-02-28T00:00:00"/>
    <n v="944.9"/>
    <n v="8"/>
    <n v="7559.2"/>
    <m/>
    <x v="185"/>
  </r>
  <r>
    <s v="528-62-2246"/>
    <x v="2"/>
    <s v="Hokitika"/>
    <s v="Member"/>
    <s v="Phone"/>
    <x v="2"/>
    <d v="2024-08-31T00:00:00"/>
    <n v="464.7"/>
    <n v="4"/>
    <n v="1858.8"/>
    <m/>
    <x v="186"/>
  </r>
  <r>
    <s v="124-39-4155"/>
    <x v="0"/>
    <s v="Greymouth"/>
    <s v="Normal"/>
    <s v="Phone"/>
    <x v="2"/>
    <d v="2023-09-15T00:00:00"/>
    <n v="740.69999999999993"/>
    <n v="1"/>
    <n v="740.69999999999993"/>
    <m/>
    <x v="187"/>
  </r>
  <r>
    <s v="696-37-8180"/>
    <x v="1"/>
    <s v="Westport"/>
    <s v="Normal"/>
    <s v="Phone"/>
    <x v="2"/>
    <d v="2023-01-29T00:00:00"/>
    <n v="698.1"/>
    <n v="4"/>
    <n v="2792.4"/>
    <m/>
    <x v="188"/>
  </r>
  <r>
    <s v="182-87-2079"/>
    <x v="2"/>
    <s v="Hokitika"/>
    <s v="Normal"/>
    <s v="Phone"/>
    <x v="2"/>
    <d v="2023-10-10T00:00:00"/>
    <n v="770.40000000000009"/>
    <n v="3"/>
    <n v="2311.1999999999998"/>
    <m/>
    <x v="189"/>
  </r>
  <r>
    <s v="158-61-9722"/>
    <x v="2"/>
    <s v="Hokitika"/>
    <s v="Normal"/>
    <s v="Phone"/>
    <x v="5"/>
    <d v="2024-10-09T00:00:00"/>
    <n v="735.19999999999993"/>
    <n v="2"/>
    <n v="1470.3999999999999"/>
    <m/>
    <x v="190"/>
  </r>
  <r>
    <s v="444-70-1762"/>
    <x v="1"/>
    <s v="Westport"/>
    <s v="Normal"/>
    <s v="Phone"/>
    <x v="4"/>
    <d v="2024-11-19T00:00:00"/>
    <n v="878"/>
    <n v="9"/>
    <n v="7902"/>
    <m/>
    <x v="191"/>
  </r>
  <r>
    <s v="547-82-9490"/>
    <x v="2"/>
    <s v="Hokitika"/>
    <s v="Normal"/>
    <s v="Computer"/>
    <x v="2"/>
    <d v="2023-03-10T00:00:00"/>
    <n v="255.5"/>
    <n v="4"/>
    <n v="1022"/>
    <m/>
    <x v="192"/>
  </r>
  <r>
    <s v="632-20-5225"/>
    <x v="0"/>
    <s v="Greymouth"/>
    <s v="Normal"/>
    <s v="Computer"/>
    <x v="1"/>
    <d v="2024-02-09T00:00:00"/>
    <n v="327.10000000000002"/>
    <n v="5"/>
    <n v="1635.5"/>
    <m/>
    <x v="193"/>
  </r>
  <r>
    <s v="425-46-6260"/>
    <x v="1"/>
    <s v="Westport"/>
    <s v="Member"/>
    <s v="Computer"/>
    <x v="5"/>
    <d v="2023-02-12T00:00:00"/>
    <n v="742.90000000000009"/>
    <n v="1"/>
    <n v="742.90000000000009"/>
    <m/>
    <x v="194"/>
  </r>
  <r>
    <s v="216-25-3475"/>
    <x v="1"/>
    <s v="Westport"/>
    <s v="Member"/>
    <s v="Computer"/>
    <x v="0"/>
    <d v="2024-09-21T00:00:00"/>
    <n v="437"/>
    <n v="2"/>
    <n v="874"/>
    <m/>
    <x v="195"/>
  </r>
  <r>
    <s v="621-71-7273"/>
    <x v="0"/>
    <s v="Greymouth"/>
    <s v="Normal"/>
    <s v="Phone"/>
    <x v="2"/>
    <d v="2024-06-24T00:00:00"/>
    <n v="252.89999999999998"/>
    <n v="1"/>
    <n v="252.89999999999998"/>
    <m/>
    <x v="196"/>
  </r>
  <r>
    <s v="981-63-9999"/>
    <x v="1"/>
    <s v="Westport"/>
    <s v="Normal"/>
    <s v="Computer"/>
    <x v="0"/>
    <d v="2022-10-24T00:00:00"/>
    <n v="415"/>
    <n v="4"/>
    <n v="1660"/>
    <m/>
    <x v="197"/>
  </r>
  <r>
    <s v="288-95-5609"/>
    <x v="1"/>
    <s v="Westport"/>
    <s v="Member"/>
    <s v="Phone"/>
    <x v="4"/>
    <d v="2023-02-12T00:00:00"/>
    <n v="713.9"/>
    <n v="5"/>
    <n v="3569.5"/>
    <m/>
    <x v="1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35BC4-CB7C-4210-BF15-C1886617BB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11" firstHeaderRow="1" firstDataRow="2" firstDataCol="1"/>
  <pivotFields count="12"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5"/>
        <item x="0"/>
        <item x="3"/>
        <item x="1"/>
        <item x="4"/>
        <item x="2"/>
        <item t="default"/>
      </items>
    </pivotField>
    <pivotField numFmtId="14" showAll="0"/>
    <pivotField showAll="0"/>
    <pivotField showAll="0"/>
    <pivotField showAll="0"/>
    <pivotField showAll="0"/>
    <pivotField dataField="1" showAll="0">
      <items count="200">
        <item x="53"/>
        <item x="69"/>
        <item x="196"/>
        <item x="142"/>
        <item x="44"/>
        <item x="54"/>
        <item x="109"/>
        <item x="26"/>
        <item x="87"/>
        <item x="99"/>
        <item x="116"/>
        <item x="184"/>
        <item x="10"/>
        <item x="160"/>
        <item x="22"/>
        <item x="66"/>
        <item x="35"/>
        <item x="52"/>
        <item x="155"/>
        <item x="8"/>
        <item x="187"/>
        <item x="60"/>
        <item x="194"/>
        <item x="96"/>
        <item x="1"/>
        <item x="19"/>
        <item x="114"/>
        <item x="183"/>
        <item x="40"/>
        <item x="195"/>
        <item x="56"/>
        <item x="93"/>
        <item x="94"/>
        <item x="152"/>
        <item x="78"/>
        <item x="11"/>
        <item x="192"/>
        <item x="118"/>
        <item x="117"/>
        <item x="115"/>
        <item x="41"/>
        <item x="48"/>
        <item x="135"/>
        <item x="131"/>
        <item x="72"/>
        <item x="190"/>
        <item x="162"/>
        <item x="91"/>
        <item x="81"/>
        <item x="181"/>
        <item x="176"/>
        <item x="63"/>
        <item x="97"/>
        <item x="173"/>
        <item x="65"/>
        <item x="125"/>
        <item x="193"/>
        <item x="18"/>
        <item x="105"/>
        <item x="9"/>
        <item x="197"/>
        <item x="171"/>
        <item x="23"/>
        <item x="27"/>
        <item x="175"/>
        <item x="47"/>
        <item x="59"/>
        <item x="186"/>
        <item x="89"/>
        <item x="33"/>
        <item x="136"/>
        <item x="101"/>
        <item x="103"/>
        <item x="51"/>
        <item x="29"/>
        <item x="189"/>
        <item x="12"/>
        <item x="39"/>
        <item x="150"/>
        <item x="83"/>
        <item x="156"/>
        <item x="148"/>
        <item x="178"/>
        <item x="21"/>
        <item x="146"/>
        <item x="24"/>
        <item x="134"/>
        <item x="182"/>
        <item x="129"/>
        <item x="144"/>
        <item x="188"/>
        <item x="126"/>
        <item x="80"/>
        <item x="110"/>
        <item x="145"/>
        <item x="64"/>
        <item x="174"/>
        <item x="107"/>
        <item x="167"/>
        <item x="180"/>
        <item x="36"/>
        <item x="172"/>
        <item x="161"/>
        <item x="82"/>
        <item x="2"/>
        <item x="61"/>
        <item x="164"/>
        <item x="159"/>
        <item x="86"/>
        <item x="102"/>
        <item x="169"/>
        <item x="198"/>
        <item x="149"/>
        <item x="106"/>
        <item x="45"/>
        <item x="85"/>
        <item x="34"/>
        <item x="163"/>
        <item x="120"/>
        <item x="170"/>
        <item x="6"/>
        <item x="42"/>
        <item x="75"/>
        <item x="25"/>
        <item x="20"/>
        <item x="13"/>
        <item x="17"/>
        <item x="38"/>
        <item x="76"/>
        <item x="28"/>
        <item x="177"/>
        <item x="90"/>
        <item x="179"/>
        <item x="123"/>
        <item x="73"/>
        <item x="154"/>
        <item x="88"/>
        <item x="3"/>
        <item x="143"/>
        <item x="30"/>
        <item x="16"/>
        <item x="168"/>
        <item x="133"/>
        <item x="62"/>
        <item x="98"/>
        <item x="111"/>
        <item x="46"/>
        <item x="122"/>
        <item x="137"/>
        <item x="112"/>
        <item x="0"/>
        <item x="132"/>
        <item x="37"/>
        <item x="127"/>
        <item x="130"/>
        <item x="158"/>
        <item x="15"/>
        <item x="147"/>
        <item x="92"/>
        <item x="138"/>
        <item x="84"/>
        <item x="67"/>
        <item x="79"/>
        <item x="5"/>
        <item x="4"/>
        <item x="71"/>
        <item x="50"/>
        <item x="153"/>
        <item x="124"/>
        <item x="32"/>
        <item x="74"/>
        <item x="141"/>
        <item x="55"/>
        <item x="31"/>
        <item x="100"/>
        <item x="14"/>
        <item x="57"/>
        <item x="58"/>
        <item x="113"/>
        <item x="7"/>
        <item x="151"/>
        <item x="185"/>
        <item x="77"/>
        <item x="68"/>
        <item x="43"/>
        <item x="191"/>
        <item x="119"/>
        <item x="128"/>
        <item x="108"/>
        <item x="49"/>
        <item x="157"/>
        <item x="95"/>
        <item x="104"/>
        <item x="70"/>
        <item x="139"/>
        <item x="121"/>
        <item x="140"/>
        <item x="165"/>
        <item x="166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 Sales" fld="11" baseField="0" baseItem="0" numFmtId="164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5-08-13T00:58:04.26" personId="{8CC84425-6A94-4D0A-9159-10FC13382DA0}" id="{8AAF9B13-7BED-4A4A-8739-45C74FF46660}">
    <text xml:space="preserve">1=economy, 2=normal, 3=premium’.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P209"/>
  <sheetViews>
    <sheetView tabSelected="1" topLeftCell="D3" zoomScale="90" zoomScaleNormal="90" zoomScaleSheetLayoutView="80" workbookViewId="0">
      <selection activeCell="B3" sqref="B3"/>
    </sheetView>
  </sheetViews>
  <sheetFormatPr defaultColWidth="10.796875" defaultRowHeight="15.6" x14ac:dyDescent="0.3"/>
  <cols>
    <col min="1" max="1" width="11.296875" customWidth="1"/>
    <col min="2" max="2" width="21" customWidth="1"/>
    <col min="4" max="4" width="13.296875" bestFit="1" customWidth="1"/>
    <col min="6" max="6" width="19.19921875" bestFit="1" customWidth="1"/>
    <col min="7" max="7" width="11.796875" style="2" bestFit="1" customWidth="1"/>
    <col min="8" max="8" width="9.19921875" style="2" bestFit="1" customWidth="1"/>
    <col min="9" max="9" width="10.796875" style="2"/>
    <col min="10" max="10" width="20.59765625" style="2" customWidth="1"/>
    <col min="11" max="11" width="10.796875" style="2"/>
    <col min="12" max="12" width="14.09765625" style="2" customWidth="1"/>
    <col min="13" max="13" width="13.8984375" customWidth="1"/>
    <col min="14" max="14" width="15.69921875" customWidth="1"/>
    <col min="16" max="16" width="14.19921875" customWidth="1"/>
  </cols>
  <sheetData>
    <row r="1" spans="1:16" x14ac:dyDescent="0.3">
      <c r="B1" s="2" t="s">
        <v>231</v>
      </c>
    </row>
    <row r="2" spans="1:16" x14ac:dyDescent="0.3">
      <c r="B2" s="28">
        <v>65232935</v>
      </c>
      <c r="J2" s="24"/>
    </row>
    <row r="3" spans="1:16" ht="16.2" thickBot="1" x14ac:dyDescent="0.35">
      <c r="B3" s="2"/>
    </row>
    <row r="4" spans="1:16" ht="20.399999999999999" x14ac:dyDescent="0.35">
      <c r="A4" s="29" t="s">
        <v>230</v>
      </c>
      <c r="B4" s="29"/>
      <c r="C4" s="29"/>
      <c r="D4" s="29"/>
      <c r="E4" s="29"/>
      <c r="F4" s="29"/>
      <c r="G4" s="29"/>
      <c r="H4" s="29"/>
      <c r="I4" s="29"/>
      <c r="K4" s="20" t="s">
        <v>13</v>
      </c>
      <c r="L4" s="21">
        <v>0.15</v>
      </c>
    </row>
    <row r="5" spans="1:16" ht="16.2" thickBot="1" x14ac:dyDescent="0.35">
      <c r="K5" s="22" t="s">
        <v>14</v>
      </c>
      <c r="L5" s="23">
        <v>0.1</v>
      </c>
    </row>
    <row r="7" spans="1:16" s="1" customFormat="1" x14ac:dyDescent="0.3">
      <c r="A7" s="15" t="s">
        <v>0</v>
      </c>
      <c r="B7" s="15" t="s">
        <v>1</v>
      </c>
      <c r="C7" s="15" t="s">
        <v>216</v>
      </c>
      <c r="D7" s="15" t="s">
        <v>8</v>
      </c>
      <c r="E7" s="15" t="s">
        <v>217</v>
      </c>
      <c r="F7" s="15" t="s">
        <v>218</v>
      </c>
      <c r="G7" s="15" t="s">
        <v>12</v>
      </c>
      <c r="H7" s="16" t="s">
        <v>9</v>
      </c>
      <c r="I7" s="15" t="s">
        <v>2</v>
      </c>
      <c r="J7" s="16" t="s">
        <v>11</v>
      </c>
      <c r="K7" s="15" t="s">
        <v>15</v>
      </c>
      <c r="L7" s="16" t="s">
        <v>10</v>
      </c>
      <c r="M7" s="17" t="s">
        <v>232</v>
      </c>
      <c r="N7" s="17" t="s">
        <v>233</v>
      </c>
      <c r="O7" s="18" t="s">
        <v>234</v>
      </c>
      <c r="P7" s="15" t="s">
        <v>235</v>
      </c>
    </row>
    <row r="8" spans="1:16" hidden="1" x14ac:dyDescent="0.3">
      <c r="A8" s="11" t="s">
        <v>69</v>
      </c>
      <c r="B8" s="11" t="s">
        <v>5</v>
      </c>
      <c r="C8" s="11" t="s">
        <v>228</v>
      </c>
      <c r="D8" s="11" t="s">
        <v>4</v>
      </c>
      <c r="E8" s="11" t="s">
        <v>219</v>
      </c>
      <c r="F8" s="11" t="s">
        <v>225</v>
      </c>
      <c r="G8" s="12">
        <v>44832</v>
      </c>
      <c r="H8" s="13">
        <v>154.30000000000001</v>
      </c>
      <c r="I8" s="14">
        <v>1</v>
      </c>
      <c r="J8" s="13">
        <v>154.30000000000001</v>
      </c>
      <c r="K8" s="13">
        <f t="shared" ref="K8:K15" si="0">J8*$L$4</f>
        <v>23.145</v>
      </c>
      <c r="L8" s="13">
        <v>162.01499999999999</v>
      </c>
      <c r="M8" s="9">
        <f t="shared" ref="M8:M15" si="1">L8-J8</f>
        <v>7.714999999999975</v>
      </c>
      <c r="N8" s="10">
        <f t="shared" ref="N8:N15" si="2">($L$8-$J$8)/$L$8</f>
        <v>4.7619047619047471E-2</v>
      </c>
      <c r="O8">
        <f t="shared" ref="O8:O15" si="3">YEAR(G8)</f>
        <v>2022</v>
      </c>
      <c r="P8">
        <f t="shared" ref="P8:P15" si="4">IF(H8&lt;400,1,IF(H8&lt;900,2,3))</f>
        <v>1</v>
      </c>
    </row>
    <row r="9" spans="1:16" hidden="1" x14ac:dyDescent="0.3">
      <c r="A9" s="5" t="s">
        <v>60</v>
      </c>
      <c r="B9" s="5" t="s">
        <v>5</v>
      </c>
      <c r="C9" s="5" t="s">
        <v>228</v>
      </c>
      <c r="D9" s="5" t="s">
        <v>4</v>
      </c>
      <c r="E9" s="5" t="s">
        <v>219</v>
      </c>
      <c r="F9" s="5" t="s">
        <v>221</v>
      </c>
      <c r="G9" s="6">
        <v>44828</v>
      </c>
      <c r="H9" s="8">
        <v>153.69999999999999</v>
      </c>
      <c r="I9" s="7">
        <v>2</v>
      </c>
      <c r="J9" s="8">
        <v>307.39999999999998</v>
      </c>
      <c r="K9" s="8">
        <f t="shared" si="0"/>
        <v>46.109999999999992</v>
      </c>
      <c r="L9" s="8">
        <v>322.77</v>
      </c>
      <c r="M9" s="9">
        <f t="shared" si="1"/>
        <v>15.370000000000005</v>
      </c>
      <c r="N9" s="10">
        <f t="shared" si="2"/>
        <v>4.7619047619047471E-2</v>
      </c>
      <c r="O9">
        <f t="shared" si="3"/>
        <v>2022</v>
      </c>
      <c r="P9">
        <f t="shared" si="4"/>
        <v>1</v>
      </c>
    </row>
    <row r="10" spans="1:16" hidden="1" x14ac:dyDescent="0.3">
      <c r="A10" s="5" t="s">
        <v>68</v>
      </c>
      <c r="B10" s="5" t="s">
        <v>7</v>
      </c>
      <c r="C10" s="5" t="s">
        <v>229</v>
      </c>
      <c r="D10" s="5" t="s">
        <v>4</v>
      </c>
      <c r="E10" s="5" t="s">
        <v>219</v>
      </c>
      <c r="F10" s="5" t="s">
        <v>225</v>
      </c>
      <c r="G10" s="6">
        <v>44898</v>
      </c>
      <c r="H10" s="8">
        <v>178.70000000000002</v>
      </c>
      <c r="I10" s="7">
        <v>4</v>
      </c>
      <c r="J10" s="8">
        <v>714.80000000000007</v>
      </c>
      <c r="K10" s="8">
        <f t="shared" si="0"/>
        <v>107.22000000000001</v>
      </c>
      <c r="L10" s="8">
        <v>750.54</v>
      </c>
      <c r="M10" s="9">
        <f t="shared" si="1"/>
        <v>35.739999999999895</v>
      </c>
      <c r="N10" s="10">
        <f t="shared" si="2"/>
        <v>4.7619047619047471E-2</v>
      </c>
      <c r="O10">
        <f t="shared" si="3"/>
        <v>2022</v>
      </c>
      <c r="P10">
        <f t="shared" si="4"/>
        <v>1</v>
      </c>
    </row>
    <row r="11" spans="1:16" hidden="1" x14ac:dyDescent="0.3">
      <c r="A11" s="5" t="s">
        <v>113</v>
      </c>
      <c r="B11" s="5" t="s">
        <v>5</v>
      </c>
      <c r="C11" s="5" t="s">
        <v>228</v>
      </c>
      <c r="D11" s="5" t="s">
        <v>6</v>
      </c>
      <c r="E11" s="5" t="s">
        <v>219</v>
      </c>
      <c r="F11" s="5" t="s">
        <v>223</v>
      </c>
      <c r="G11" s="6">
        <v>44842</v>
      </c>
      <c r="H11" s="8">
        <v>124.5</v>
      </c>
      <c r="I11" s="7">
        <v>6</v>
      </c>
      <c r="J11" s="8">
        <v>747</v>
      </c>
      <c r="K11" s="8">
        <f t="shared" si="0"/>
        <v>112.05</v>
      </c>
      <c r="L11" s="8">
        <v>784.35</v>
      </c>
      <c r="M11" s="9">
        <f t="shared" si="1"/>
        <v>37.350000000000023</v>
      </c>
      <c r="N11" s="10">
        <f t="shared" si="2"/>
        <v>4.7619047619047471E-2</v>
      </c>
      <c r="O11">
        <f t="shared" si="3"/>
        <v>2022</v>
      </c>
      <c r="P11">
        <f t="shared" si="4"/>
        <v>1</v>
      </c>
    </row>
    <row r="12" spans="1:16" hidden="1" x14ac:dyDescent="0.3">
      <c r="A12" s="5" t="s">
        <v>35</v>
      </c>
      <c r="B12" s="5" t="s">
        <v>7</v>
      </c>
      <c r="C12" s="5" t="s">
        <v>229</v>
      </c>
      <c r="D12" s="5" t="s">
        <v>6</v>
      </c>
      <c r="E12" s="5" t="s">
        <v>220</v>
      </c>
      <c r="F12" s="5" t="s">
        <v>222</v>
      </c>
      <c r="G12" s="6">
        <v>44836</v>
      </c>
      <c r="H12" s="8">
        <v>403</v>
      </c>
      <c r="I12" s="7">
        <v>2</v>
      </c>
      <c r="J12" s="8">
        <v>806</v>
      </c>
      <c r="K12" s="8">
        <f t="shared" si="0"/>
        <v>120.89999999999999</v>
      </c>
      <c r="L12" s="8">
        <v>846.3</v>
      </c>
      <c r="M12" s="9">
        <f t="shared" si="1"/>
        <v>40.299999999999955</v>
      </c>
      <c r="N12" s="10">
        <f t="shared" si="2"/>
        <v>4.7619047619047471E-2</v>
      </c>
      <c r="O12">
        <f t="shared" si="3"/>
        <v>2022</v>
      </c>
      <c r="P12">
        <f t="shared" si="4"/>
        <v>2</v>
      </c>
    </row>
    <row r="13" spans="1:16" hidden="1" x14ac:dyDescent="0.3">
      <c r="A13" s="5" t="s">
        <v>179</v>
      </c>
      <c r="B13" s="5" t="s">
        <v>5</v>
      </c>
      <c r="C13" s="5" t="s">
        <v>228</v>
      </c>
      <c r="D13" s="5" t="s">
        <v>6</v>
      </c>
      <c r="E13" s="5" t="s">
        <v>219</v>
      </c>
      <c r="F13" s="5" t="s">
        <v>224</v>
      </c>
      <c r="G13" s="6">
        <v>44837</v>
      </c>
      <c r="H13" s="8">
        <v>764</v>
      </c>
      <c r="I13" s="7">
        <v>2</v>
      </c>
      <c r="J13" s="8">
        <v>1528</v>
      </c>
      <c r="K13" s="8">
        <f t="shared" si="0"/>
        <v>229.2</v>
      </c>
      <c r="L13" s="8">
        <v>1604.4</v>
      </c>
      <c r="M13" s="9">
        <f t="shared" si="1"/>
        <v>76.400000000000091</v>
      </c>
      <c r="N13" s="10">
        <f t="shared" si="2"/>
        <v>4.7619047619047471E-2</v>
      </c>
      <c r="O13">
        <f t="shared" si="3"/>
        <v>2022</v>
      </c>
      <c r="P13">
        <f t="shared" si="4"/>
        <v>2</v>
      </c>
    </row>
    <row r="14" spans="1:16" hidden="1" x14ac:dyDescent="0.3">
      <c r="A14" s="5" t="s">
        <v>98</v>
      </c>
      <c r="B14" s="5" t="s">
        <v>5</v>
      </c>
      <c r="C14" s="5" t="s">
        <v>228</v>
      </c>
      <c r="D14" s="5" t="s">
        <v>6</v>
      </c>
      <c r="E14" s="5" t="s">
        <v>220</v>
      </c>
      <c r="F14" s="5" t="s">
        <v>226</v>
      </c>
      <c r="G14" s="6">
        <v>44914</v>
      </c>
      <c r="H14" s="8">
        <v>192.5</v>
      </c>
      <c r="I14" s="7">
        <v>8</v>
      </c>
      <c r="J14" s="8">
        <v>1540</v>
      </c>
      <c r="K14" s="8">
        <f t="shared" si="0"/>
        <v>231</v>
      </c>
      <c r="L14" s="8">
        <v>1617</v>
      </c>
      <c r="M14" s="9">
        <f t="shared" si="1"/>
        <v>77</v>
      </c>
      <c r="N14" s="10">
        <f t="shared" si="2"/>
        <v>4.7619047619047471E-2</v>
      </c>
      <c r="O14">
        <f t="shared" si="3"/>
        <v>2022</v>
      </c>
      <c r="P14">
        <f t="shared" si="4"/>
        <v>1</v>
      </c>
    </row>
    <row r="15" spans="1:16" hidden="1" x14ac:dyDescent="0.3">
      <c r="A15" s="5" t="s">
        <v>214</v>
      </c>
      <c r="B15" s="5" t="s">
        <v>5</v>
      </c>
      <c r="C15" s="5" t="s">
        <v>228</v>
      </c>
      <c r="D15" s="5" t="s">
        <v>6</v>
      </c>
      <c r="E15" s="5" t="s">
        <v>219</v>
      </c>
      <c r="F15" s="5" t="s">
        <v>221</v>
      </c>
      <c r="G15" s="6">
        <v>44858</v>
      </c>
      <c r="H15" s="8">
        <v>415</v>
      </c>
      <c r="I15" s="7">
        <v>4</v>
      </c>
      <c r="J15" s="8">
        <v>1660</v>
      </c>
      <c r="K15" s="8">
        <f t="shared" si="0"/>
        <v>249</v>
      </c>
      <c r="L15" s="8">
        <v>1743</v>
      </c>
      <c r="M15" s="9">
        <f t="shared" si="1"/>
        <v>83</v>
      </c>
      <c r="N15" s="10">
        <f t="shared" si="2"/>
        <v>4.7619047619047471E-2</v>
      </c>
      <c r="O15">
        <f t="shared" si="3"/>
        <v>2022</v>
      </c>
      <c r="P15">
        <f t="shared" si="4"/>
        <v>2</v>
      </c>
    </row>
    <row r="16" spans="1:16" x14ac:dyDescent="0.3">
      <c r="A16" s="5" t="s">
        <v>121</v>
      </c>
      <c r="B16" s="5" t="s">
        <v>3</v>
      </c>
      <c r="C16" s="5" t="s">
        <v>227</v>
      </c>
      <c r="D16" s="5" t="s">
        <v>4</v>
      </c>
      <c r="E16" s="5" t="s">
        <v>219</v>
      </c>
      <c r="F16" s="5" t="s">
        <v>223</v>
      </c>
      <c r="G16" s="6">
        <v>44807</v>
      </c>
      <c r="H16" s="8">
        <v>886.7</v>
      </c>
      <c r="I16" s="7">
        <v>10</v>
      </c>
      <c r="J16" s="8">
        <v>8867</v>
      </c>
      <c r="K16" s="8">
        <f t="shared" ref="K16:K47" si="5">J16*$L$4</f>
        <v>1330.05</v>
      </c>
      <c r="L16" s="8">
        <v>9310.35</v>
      </c>
      <c r="M16" s="25">
        <f t="shared" ref="M16:M47" si="6">L16-J16</f>
        <v>443.35000000000036</v>
      </c>
      <c r="N16" s="26">
        <f t="shared" ref="N16:N47" si="7">($L$8-$J$8)/$L$8</f>
        <v>4.7619047619047471E-2</v>
      </c>
      <c r="O16" s="27">
        <f t="shared" ref="O16:O47" si="8">YEAR(G16)</f>
        <v>2022</v>
      </c>
      <c r="P16" s="27">
        <f t="shared" ref="P16:P47" si="9">IF(H16&lt;400,1,IF(H16&lt;900,2,3))</f>
        <v>2</v>
      </c>
    </row>
    <row r="17" spans="1:16" hidden="1" x14ac:dyDescent="0.3">
      <c r="A17" s="5" t="s">
        <v>100</v>
      </c>
      <c r="B17" s="5" t="s">
        <v>5</v>
      </c>
      <c r="C17" s="5" t="s">
        <v>228</v>
      </c>
      <c r="D17" s="5" t="s">
        <v>4</v>
      </c>
      <c r="E17" s="5" t="s">
        <v>219</v>
      </c>
      <c r="F17" s="5" t="s">
        <v>224</v>
      </c>
      <c r="G17" s="6">
        <v>44859</v>
      </c>
      <c r="H17" s="8">
        <v>489.09999999999997</v>
      </c>
      <c r="I17" s="7">
        <v>5</v>
      </c>
      <c r="J17" s="8">
        <v>2445.5</v>
      </c>
      <c r="K17" s="8">
        <f t="shared" si="5"/>
        <v>366.82499999999999</v>
      </c>
      <c r="L17" s="8">
        <v>2567.7749999999996</v>
      </c>
      <c r="M17" s="9">
        <f t="shared" si="6"/>
        <v>122.27499999999964</v>
      </c>
      <c r="N17" s="10">
        <f t="shared" si="7"/>
        <v>4.7619047619047471E-2</v>
      </c>
      <c r="O17">
        <f t="shared" si="8"/>
        <v>2022</v>
      </c>
      <c r="P17">
        <f t="shared" si="9"/>
        <v>2</v>
      </c>
    </row>
    <row r="18" spans="1:16" x14ac:dyDescent="0.3">
      <c r="A18" s="5" t="s">
        <v>74</v>
      </c>
      <c r="B18" s="5" t="s">
        <v>3</v>
      </c>
      <c r="C18" s="5" t="s">
        <v>227</v>
      </c>
      <c r="D18" s="5" t="s">
        <v>4</v>
      </c>
      <c r="E18" s="5" t="s">
        <v>220</v>
      </c>
      <c r="F18" s="5" t="s">
        <v>222</v>
      </c>
      <c r="G18" s="6">
        <v>44897</v>
      </c>
      <c r="H18" s="8">
        <v>723.5</v>
      </c>
      <c r="I18" s="7">
        <v>10</v>
      </c>
      <c r="J18" s="8">
        <v>7235</v>
      </c>
      <c r="K18" s="8">
        <f t="shared" si="5"/>
        <v>1085.25</v>
      </c>
      <c r="L18" s="8">
        <v>7596.75</v>
      </c>
      <c r="M18" s="25">
        <f t="shared" si="6"/>
        <v>361.75</v>
      </c>
      <c r="N18" s="26">
        <f t="shared" si="7"/>
        <v>4.7619047619047471E-2</v>
      </c>
      <c r="O18" s="27">
        <f t="shared" si="8"/>
        <v>2022</v>
      </c>
      <c r="P18" s="27">
        <f t="shared" si="9"/>
        <v>2</v>
      </c>
    </row>
    <row r="19" spans="1:16" hidden="1" x14ac:dyDescent="0.3">
      <c r="A19" s="5" t="s">
        <v>97</v>
      </c>
      <c r="B19" s="5" t="s">
        <v>7</v>
      </c>
      <c r="C19" s="5" t="s">
        <v>229</v>
      </c>
      <c r="D19" s="5" t="s">
        <v>6</v>
      </c>
      <c r="E19" s="5" t="s">
        <v>220</v>
      </c>
      <c r="F19" s="5" t="s">
        <v>226</v>
      </c>
      <c r="G19" s="6">
        <v>44813</v>
      </c>
      <c r="H19" s="8">
        <v>966.80000000000007</v>
      </c>
      <c r="I19" s="7">
        <v>3</v>
      </c>
      <c r="J19" s="8">
        <v>2900.4</v>
      </c>
      <c r="K19" s="8">
        <f t="shared" si="5"/>
        <v>435.06</v>
      </c>
      <c r="L19" s="8">
        <v>3045.4199999999996</v>
      </c>
      <c r="M19" s="9">
        <f t="shared" si="6"/>
        <v>145.01999999999953</v>
      </c>
      <c r="N19" s="10">
        <f t="shared" si="7"/>
        <v>4.7619047619047471E-2</v>
      </c>
      <c r="O19">
        <f t="shared" si="8"/>
        <v>2022</v>
      </c>
      <c r="P19">
        <f t="shared" si="9"/>
        <v>3</v>
      </c>
    </row>
    <row r="20" spans="1:16" x14ac:dyDescent="0.3">
      <c r="A20" s="5" t="s">
        <v>185</v>
      </c>
      <c r="B20" s="5" t="s">
        <v>3</v>
      </c>
      <c r="C20" s="5" t="s">
        <v>227</v>
      </c>
      <c r="D20" s="5" t="s">
        <v>4</v>
      </c>
      <c r="E20" s="5" t="s">
        <v>219</v>
      </c>
      <c r="F20" s="5" t="s">
        <v>224</v>
      </c>
      <c r="G20" s="6">
        <v>44885</v>
      </c>
      <c r="H20" s="8">
        <v>695.19999999999993</v>
      </c>
      <c r="I20" s="7">
        <v>7</v>
      </c>
      <c r="J20" s="8">
        <v>4866.3999999999996</v>
      </c>
      <c r="K20" s="8">
        <f t="shared" si="5"/>
        <v>729.95999999999992</v>
      </c>
      <c r="L20" s="8">
        <v>5109.7199999999993</v>
      </c>
      <c r="M20" s="25">
        <f t="shared" si="6"/>
        <v>243.31999999999971</v>
      </c>
      <c r="N20" s="26">
        <f t="shared" si="7"/>
        <v>4.7619047619047471E-2</v>
      </c>
      <c r="O20" s="27">
        <f t="shared" si="8"/>
        <v>2022</v>
      </c>
      <c r="P20" s="27">
        <f t="shared" si="9"/>
        <v>2</v>
      </c>
    </row>
    <row r="21" spans="1:16" hidden="1" x14ac:dyDescent="0.3">
      <c r="A21" s="5" t="s">
        <v>54</v>
      </c>
      <c r="B21" s="5" t="s">
        <v>5</v>
      </c>
      <c r="C21" s="5" t="s">
        <v>228</v>
      </c>
      <c r="D21" s="5" t="s">
        <v>6</v>
      </c>
      <c r="E21" s="5" t="s">
        <v>220</v>
      </c>
      <c r="F21" s="5" t="s">
        <v>221</v>
      </c>
      <c r="G21" s="6">
        <v>44823</v>
      </c>
      <c r="H21" s="8">
        <v>549.20000000000005</v>
      </c>
      <c r="I21" s="7">
        <v>8</v>
      </c>
      <c r="J21" s="8">
        <v>4393.6000000000004</v>
      </c>
      <c r="K21" s="8">
        <f t="shared" si="5"/>
        <v>659.04000000000008</v>
      </c>
      <c r="L21" s="8">
        <v>4613.28</v>
      </c>
      <c r="M21" s="9">
        <f t="shared" si="6"/>
        <v>219.67999999999938</v>
      </c>
      <c r="N21" s="10">
        <f t="shared" si="7"/>
        <v>4.7619047619047471E-2</v>
      </c>
      <c r="O21">
        <f t="shared" si="8"/>
        <v>2022</v>
      </c>
      <c r="P21">
        <f t="shared" si="9"/>
        <v>2</v>
      </c>
    </row>
    <row r="22" spans="1:16" hidden="1" x14ac:dyDescent="0.3">
      <c r="A22" s="5" t="s">
        <v>105</v>
      </c>
      <c r="B22" s="5" t="s">
        <v>7</v>
      </c>
      <c r="C22" s="5" t="s">
        <v>229</v>
      </c>
      <c r="D22" s="5" t="s">
        <v>6</v>
      </c>
      <c r="E22" s="5" t="s">
        <v>220</v>
      </c>
      <c r="F22" s="5" t="s">
        <v>221</v>
      </c>
      <c r="G22" s="6">
        <v>44821</v>
      </c>
      <c r="H22" s="8">
        <v>769.9</v>
      </c>
      <c r="I22" s="7">
        <v>6</v>
      </c>
      <c r="J22" s="8">
        <v>4619.3999999999996</v>
      </c>
      <c r="K22" s="8">
        <f t="shared" si="5"/>
        <v>692.91</v>
      </c>
      <c r="L22" s="8">
        <v>4850.37</v>
      </c>
      <c r="M22" s="9">
        <f t="shared" si="6"/>
        <v>230.97000000000025</v>
      </c>
      <c r="N22" s="10">
        <f t="shared" si="7"/>
        <v>4.7619047619047471E-2</v>
      </c>
      <c r="O22">
        <f t="shared" si="8"/>
        <v>2022</v>
      </c>
      <c r="P22">
        <f t="shared" si="9"/>
        <v>2</v>
      </c>
    </row>
    <row r="23" spans="1:16" x14ac:dyDescent="0.3">
      <c r="A23" s="5" t="s">
        <v>178</v>
      </c>
      <c r="B23" s="5" t="s">
        <v>3</v>
      </c>
      <c r="C23" s="5" t="s">
        <v>227</v>
      </c>
      <c r="D23" s="5" t="s">
        <v>6</v>
      </c>
      <c r="E23" s="5" t="s">
        <v>220</v>
      </c>
      <c r="F23" s="5" t="s">
        <v>226</v>
      </c>
      <c r="G23" s="6">
        <v>44922</v>
      </c>
      <c r="H23" s="8">
        <v>457.9</v>
      </c>
      <c r="I23" s="7">
        <v>7</v>
      </c>
      <c r="J23" s="8">
        <v>3205.2999999999997</v>
      </c>
      <c r="K23" s="8">
        <f t="shared" si="5"/>
        <v>480.79499999999996</v>
      </c>
      <c r="L23" s="8">
        <v>3365.5650000000005</v>
      </c>
      <c r="M23" s="25">
        <f t="shared" si="6"/>
        <v>160.26500000000078</v>
      </c>
      <c r="N23" s="26">
        <f t="shared" si="7"/>
        <v>4.7619047619047471E-2</v>
      </c>
      <c r="O23" s="27">
        <f t="shared" si="8"/>
        <v>2022</v>
      </c>
      <c r="P23" s="27">
        <f t="shared" si="9"/>
        <v>2</v>
      </c>
    </row>
    <row r="24" spans="1:16" hidden="1" x14ac:dyDescent="0.3">
      <c r="A24" s="5" t="s">
        <v>139</v>
      </c>
      <c r="B24" s="5" t="s">
        <v>5</v>
      </c>
      <c r="C24" s="5" t="s">
        <v>228</v>
      </c>
      <c r="D24" s="5" t="s">
        <v>4</v>
      </c>
      <c r="E24" s="5" t="s">
        <v>220</v>
      </c>
      <c r="F24" s="5" t="s">
        <v>222</v>
      </c>
      <c r="G24" s="6">
        <v>44853</v>
      </c>
      <c r="H24" s="8">
        <v>639.09999999999991</v>
      </c>
      <c r="I24" s="7">
        <v>8</v>
      </c>
      <c r="J24" s="8">
        <v>5112.7999999999993</v>
      </c>
      <c r="K24" s="8">
        <f t="shared" si="5"/>
        <v>766.91999999999985</v>
      </c>
      <c r="L24" s="8">
        <v>5368.4400000000005</v>
      </c>
      <c r="M24" s="9">
        <f t="shared" si="6"/>
        <v>255.64000000000124</v>
      </c>
      <c r="N24" s="10">
        <f t="shared" si="7"/>
        <v>4.7619047619047471E-2</v>
      </c>
      <c r="O24">
        <f t="shared" si="8"/>
        <v>2022</v>
      </c>
      <c r="P24">
        <f t="shared" si="9"/>
        <v>2</v>
      </c>
    </row>
    <row r="25" spans="1:16" hidden="1" x14ac:dyDescent="0.3">
      <c r="A25" s="5" t="s">
        <v>48</v>
      </c>
      <c r="B25" s="5" t="s">
        <v>7</v>
      </c>
      <c r="C25" s="5" t="s">
        <v>229</v>
      </c>
      <c r="D25" s="5" t="s">
        <v>6</v>
      </c>
      <c r="E25" s="5" t="s">
        <v>219</v>
      </c>
      <c r="F25" s="5" t="s">
        <v>224</v>
      </c>
      <c r="G25" s="6">
        <v>44825</v>
      </c>
      <c r="H25" s="8">
        <v>837.8</v>
      </c>
      <c r="I25" s="7">
        <v>8</v>
      </c>
      <c r="J25" s="8">
        <v>6702.4</v>
      </c>
      <c r="K25" s="8">
        <f t="shared" si="5"/>
        <v>1005.3599999999999</v>
      </c>
      <c r="L25" s="8">
        <v>7037.5199999999995</v>
      </c>
      <c r="M25" s="9">
        <f t="shared" si="6"/>
        <v>335.11999999999989</v>
      </c>
      <c r="N25" s="10">
        <f t="shared" si="7"/>
        <v>4.7619047619047471E-2</v>
      </c>
      <c r="O25">
        <f t="shared" si="8"/>
        <v>2022</v>
      </c>
      <c r="P25">
        <f t="shared" si="9"/>
        <v>2</v>
      </c>
    </row>
    <row r="26" spans="1:16" x14ac:dyDescent="0.3">
      <c r="A26" s="5" t="s">
        <v>165</v>
      </c>
      <c r="B26" s="5" t="s">
        <v>3</v>
      </c>
      <c r="C26" s="5" t="s">
        <v>227</v>
      </c>
      <c r="D26" s="5" t="s">
        <v>6</v>
      </c>
      <c r="E26" s="5" t="s">
        <v>219</v>
      </c>
      <c r="F26" s="5" t="s">
        <v>221</v>
      </c>
      <c r="G26" s="6">
        <v>44896</v>
      </c>
      <c r="H26" s="8">
        <v>324.60000000000002</v>
      </c>
      <c r="I26" s="7">
        <v>8</v>
      </c>
      <c r="J26" s="8">
        <v>2596.8000000000002</v>
      </c>
      <c r="K26" s="8">
        <f t="shared" si="5"/>
        <v>389.52000000000004</v>
      </c>
      <c r="L26" s="8">
        <v>2726.64</v>
      </c>
      <c r="M26" s="25">
        <f t="shared" si="6"/>
        <v>129.83999999999969</v>
      </c>
      <c r="N26" s="26">
        <f t="shared" si="7"/>
        <v>4.7619047619047471E-2</v>
      </c>
      <c r="O26" s="27">
        <f t="shared" si="8"/>
        <v>2022</v>
      </c>
      <c r="P26" s="27">
        <f t="shared" si="9"/>
        <v>1</v>
      </c>
    </row>
    <row r="27" spans="1:16" x14ac:dyDescent="0.3">
      <c r="A27" s="5" t="s">
        <v>39</v>
      </c>
      <c r="B27" s="5" t="s">
        <v>3</v>
      </c>
      <c r="C27" s="5" t="s">
        <v>227</v>
      </c>
      <c r="D27" s="5" t="s">
        <v>6</v>
      </c>
      <c r="E27" s="5" t="s">
        <v>219</v>
      </c>
      <c r="F27" s="5" t="s">
        <v>223</v>
      </c>
      <c r="G27" s="6">
        <v>44811</v>
      </c>
      <c r="H27" s="8">
        <v>345.6</v>
      </c>
      <c r="I27" s="7">
        <v>5</v>
      </c>
      <c r="J27" s="8">
        <v>1728</v>
      </c>
      <c r="K27" s="8">
        <f t="shared" si="5"/>
        <v>259.2</v>
      </c>
      <c r="L27" s="8">
        <v>1814.4</v>
      </c>
      <c r="M27" s="25">
        <f t="shared" si="6"/>
        <v>86.400000000000091</v>
      </c>
      <c r="N27" s="26">
        <f t="shared" si="7"/>
        <v>4.7619047619047471E-2</v>
      </c>
      <c r="O27" s="27">
        <f t="shared" si="8"/>
        <v>2022</v>
      </c>
      <c r="P27" s="27">
        <f t="shared" si="9"/>
        <v>1</v>
      </c>
    </row>
    <row r="28" spans="1:16" hidden="1" x14ac:dyDescent="0.3">
      <c r="A28" s="5" t="s">
        <v>86</v>
      </c>
      <c r="B28" s="5" t="s">
        <v>5</v>
      </c>
      <c r="C28" s="5" t="s">
        <v>228</v>
      </c>
      <c r="D28" s="5" t="s">
        <v>6</v>
      </c>
      <c r="E28" s="5" t="s">
        <v>220</v>
      </c>
      <c r="F28" s="5" t="s">
        <v>226</v>
      </c>
      <c r="G28" s="6">
        <v>44876</v>
      </c>
      <c r="H28" s="8">
        <v>894.80000000000007</v>
      </c>
      <c r="I28" s="7">
        <v>10</v>
      </c>
      <c r="J28" s="8">
        <v>8948</v>
      </c>
      <c r="K28" s="8">
        <f t="shared" si="5"/>
        <v>1342.2</v>
      </c>
      <c r="L28" s="8">
        <v>9395.4</v>
      </c>
      <c r="M28" s="9">
        <f t="shared" si="6"/>
        <v>447.39999999999964</v>
      </c>
      <c r="N28" s="10">
        <f t="shared" si="7"/>
        <v>4.7619047619047471E-2</v>
      </c>
      <c r="O28">
        <f t="shared" si="8"/>
        <v>2022</v>
      </c>
      <c r="P28">
        <f t="shared" si="9"/>
        <v>2</v>
      </c>
    </row>
    <row r="29" spans="1:16" hidden="1" x14ac:dyDescent="0.3">
      <c r="A29" s="5" t="s">
        <v>126</v>
      </c>
      <c r="B29" s="5" t="s">
        <v>7</v>
      </c>
      <c r="C29" s="5" t="s">
        <v>229</v>
      </c>
      <c r="D29" s="5" t="s">
        <v>4</v>
      </c>
      <c r="E29" s="5" t="s">
        <v>219</v>
      </c>
      <c r="F29" s="5" t="s">
        <v>224</v>
      </c>
      <c r="G29" s="6">
        <v>45054</v>
      </c>
      <c r="H29" s="8">
        <v>164.89999999999998</v>
      </c>
      <c r="I29" s="7">
        <v>2</v>
      </c>
      <c r="J29" s="8">
        <v>329.79999999999995</v>
      </c>
      <c r="K29" s="8">
        <f t="shared" si="5"/>
        <v>49.469999999999992</v>
      </c>
      <c r="L29" s="8">
        <v>346.28999999999996</v>
      </c>
      <c r="M29" s="9">
        <f t="shared" si="6"/>
        <v>16.490000000000009</v>
      </c>
      <c r="N29" s="10">
        <f t="shared" si="7"/>
        <v>4.7619047619047471E-2</v>
      </c>
      <c r="O29">
        <f t="shared" si="8"/>
        <v>2023</v>
      </c>
      <c r="P29">
        <f t="shared" si="9"/>
        <v>1</v>
      </c>
    </row>
    <row r="30" spans="1:16" hidden="1" x14ac:dyDescent="0.3">
      <c r="A30" s="5" t="s">
        <v>42</v>
      </c>
      <c r="B30" s="5" t="s">
        <v>7</v>
      </c>
      <c r="C30" s="5" t="s">
        <v>229</v>
      </c>
      <c r="D30" s="5" t="s">
        <v>6</v>
      </c>
      <c r="E30" s="5" t="s">
        <v>219</v>
      </c>
      <c r="F30" s="5" t="s">
        <v>225</v>
      </c>
      <c r="G30" s="6">
        <v>45243</v>
      </c>
      <c r="H30" s="8">
        <v>335.20000000000005</v>
      </c>
      <c r="I30" s="7">
        <v>1</v>
      </c>
      <c r="J30" s="8">
        <v>335.20000000000005</v>
      </c>
      <c r="K30" s="8">
        <f t="shared" si="5"/>
        <v>50.280000000000008</v>
      </c>
      <c r="L30" s="8">
        <v>351.96</v>
      </c>
      <c r="M30" s="9">
        <f t="shared" si="6"/>
        <v>16.759999999999934</v>
      </c>
      <c r="N30" s="10">
        <f t="shared" si="7"/>
        <v>4.7619047619047471E-2</v>
      </c>
      <c r="O30">
        <f t="shared" si="8"/>
        <v>2023</v>
      </c>
      <c r="P30">
        <f t="shared" si="9"/>
        <v>1</v>
      </c>
    </row>
    <row r="31" spans="1:16" x14ac:dyDescent="0.3">
      <c r="A31" s="5" t="s">
        <v>168</v>
      </c>
      <c r="B31" s="5" t="s">
        <v>3</v>
      </c>
      <c r="C31" s="5" t="s">
        <v>227</v>
      </c>
      <c r="D31" s="5" t="s">
        <v>6</v>
      </c>
      <c r="E31" s="5" t="s">
        <v>219</v>
      </c>
      <c r="F31" s="5" t="s">
        <v>225</v>
      </c>
      <c r="G31" s="6">
        <v>44957</v>
      </c>
      <c r="H31" s="8">
        <v>832.4</v>
      </c>
      <c r="I31" s="7">
        <v>9</v>
      </c>
      <c r="J31" s="8">
        <v>7491.5999999999995</v>
      </c>
      <c r="K31" s="8">
        <f t="shared" si="5"/>
        <v>1123.7399999999998</v>
      </c>
      <c r="L31" s="8">
        <v>7866.18</v>
      </c>
      <c r="M31" s="25">
        <f t="shared" si="6"/>
        <v>374.58000000000084</v>
      </c>
      <c r="N31" s="26">
        <f t="shared" si="7"/>
        <v>4.7619047619047471E-2</v>
      </c>
      <c r="O31" s="27">
        <f t="shared" si="8"/>
        <v>2023</v>
      </c>
      <c r="P31" s="27">
        <f t="shared" si="9"/>
        <v>2</v>
      </c>
    </row>
    <row r="32" spans="1:16" hidden="1" x14ac:dyDescent="0.3">
      <c r="A32" s="5" t="s">
        <v>116</v>
      </c>
      <c r="B32" s="5" t="s">
        <v>5</v>
      </c>
      <c r="C32" s="5" t="s">
        <v>228</v>
      </c>
      <c r="D32" s="5" t="s">
        <v>4</v>
      </c>
      <c r="E32" s="5" t="s">
        <v>219</v>
      </c>
      <c r="F32" s="5" t="s">
        <v>225</v>
      </c>
      <c r="G32" s="6">
        <v>45086</v>
      </c>
      <c r="H32" s="8">
        <v>487.1</v>
      </c>
      <c r="I32" s="7">
        <v>1</v>
      </c>
      <c r="J32" s="8">
        <v>487.1</v>
      </c>
      <c r="K32" s="8">
        <f t="shared" si="5"/>
        <v>73.064999999999998</v>
      </c>
      <c r="L32" s="8">
        <v>511.45499999999998</v>
      </c>
      <c r="M32" s="9">
        <f t="shared" si="6"/>
        <v>24.354999999999961</v>
      </c>
      <c r="N32" s="10">
        <f t="shared" si="7"/>
        <v>4.7619047619047471E-2</v>
      </c>
      <c r="O32">
        <f t="shared" si="8"/>
        <v>2023</v>
      </c>
      <c r="P32">
        <f t="shared" si="9"/>
        <v>2</v>
      </c>
    </row>
    <row r="33" spans="1:16" hidden="1" x14ac:dyDescent="0.3">
      <c r="A33" s="5" t="s">
        <v>201</v>
      </c>
      <c r="B33" s="5" t="s">
        <v>7</v>
      </c>
      <c r="C33" s="5" t="s">
        <v>229</v>
      </c>
      <c r="D33" s="5" t="s">
        <v>4</v>
      </c>
      <c r="E33" s="5" t="s">
        <v>220</v>
      </c>
      <c r="F33" s="5" t="s">
        <v>226</v>
      </c>
      <c r="G33" s="6">
        <v>45147</v>
      </c>
      <c r="H33" s="8">
        <v>180.79999999999998</v>
      </c>
      <c r="I33" s="7">
        <v>3</v>
      </c>
      <c r="J33" s="8">
        <v>542.4</v>
      </c>
      <c r="K33" s="8">
        <f t="shared" si="5"/>
        <v>81.36</v>
      </c>
      <c r="L33" s="8">
        <v>569.52</v>
      </c>
      <c r="M33" s="9">
        <f t="shared" si="6"/>
        <v>27.120000000000005</v>
      </c>
      <c r="N33" s="10">
        <f t="shared" si="7"/>
        <v>4.7619047619047471E-2</v>
      </c>
      <c r="O33">
        <f t="shared" si="8"/>
        <v>2023</v>
      </c>
      <c r="P33">
        <f t="shared" si="9"/>
        <v>1</v>
      </c>
    </row>
    <row r="34" spans="1:16" hidden="1" x14ac:dyDescent="0.3">
      <c r="A34" s="5" t="s">
        <v>26</v>
      </c>
      <c r="B34" s="5" t="s">
        <v>7</v>
      </c>
      <c r="C34" s="5" t="s">
        <v>229</v>
      </c>
      <c r="D34" s="5" t="s">
        <v>4</v>
      </c>
      <c r="E34" s="5" t="s">
        <v>220</v>
      </c>
      <c r="F34" s="5" t="s">
        <v>225</v>
      </c>
      <c r="G34" s="6">
        <v>45211</v>
      </c>
      <c r="H34" s="8">
        <v>144.80000000000001</v>
      </c>
      <c r="I34" s="7">
        <v>4</v>
      </c>
      <c r="J34" s="8">
        <v>579.20000000000005</v>
      </c>
      <c r="K34" s="8">
        <f t="shared" si="5"/>
        <v>86.88000000000001</v>
      </c>
      <c r="L34" s="8">
        <v>608.16000000000008</v>
      </c>
      <c r="M34" s="9">
        <f t="shared" si="6"/>
        <v>28.960000000000036</v>
      </c>
      <c r="N34" s="10">
        <f t="shared" si="7"/>
        <v>4.7619047619047471E-2</v>
      </c>
      <c r="O34">
        <f t="shared" si="8"/>
        <v>2023</v>
      </c>
      <c r="P34">
        <f t="shared" si="9"/>
        <v>1</v>
      </c>
    </row>
    <row r="35" spans="1:16" hidden="1" x14ac:dyDescent="0.3">
      <c r="A35" s="5" t="s">
        <v>38</v>
      </c>
      <c r="B35" s="5" t="s">
        <v>7</v>
      </c>
      <c r="C35" s="5" t="s">
        <v>229</v>
      </c>
      <c r="D35" s="5" t="s">
        <v>6</v>
      </c>
      <c r="E35" s="5" t="s">
        <v>220</v>
      </c>
      <c r="F35" s="5" t="s">
        <v>222</v>
      </c>
      <c r="G35" s="6">
        <v>45159</v>
      </c>
      <c r="H35" s="8">
        <v>332</v>
      </c>
      <c r="I35" s="7">
        <v>2</v>
      </c>
      <c r="J35" s="8">
        <v>664</v>
      </c>
      <c r="K35" s="8">
        <f t="shared" si="5"/>
        <v>99.6</v>
      </c>
      <c r="L35" s="8">
        <v>697.2</v>
      </c>
      <c r="M35" s="9">
        <f t="shared" si="6"/>
        <v>33.200000000000045</v>
      </c>
      <c r="N35" s="10">
        <f t="shared" si="7"/>
        <v>4.7619047619047471E-2</v>
      </c>
      <c r="O35">
        <f t="shared" si="8"/>
        <v>2023</v>
      </c>
      <c r="P35">
        <f t="shared" si="9"/>
        <v>1</v>
      </c>
    </row>
    <row r="36" spans="1:16" hidden="1" x14ac:dyDescent="0.3">
      <c r="A36" s="5" t="s">
        <v>51</v>
      </c>
      <c r="B36" s="5" t="s">
        <v>5</v>
      </c>
      <c r="C36" s="5" t="s">
        <v>228</v>
      </c>
      <c r="D36" s="5" t="s">
        <v>4</v>
      </c>
      <c r="E36" s="5" t="s">
        <v>219</v>
      </c>
      <c r="F36" s="5" t="s">
        <v>224</v>
      </c>
      <c r="G36" s="6">
        <v>44991</v>
      </c>
      <c r="H36" s="8">
        <v>681.2</v>
      </c>
      <c r="I36" s="7">
        <v>1</v>
      </c>
      <c r="J36" s="8">
        <v>681.2</v>
      </c>
      <c r="K36" s="8">
        <f t="shared" si="5"/>
        <v>102.18</v>
      </c>
      <c r="L36" s="8">
        <v>715.26</v>
      </c>
      <c r="M36" s="9">
        <f t="shared" si="6"/>
        <v>34.059999999999945</v>
      </c>
      <c r="N36" s="10">
        <f t="shared" si="7"/>
        <v>4.7619047619047471E-2</v>
      </c>
      <c r="O36">
        <f t="shared" si="8"/>
        <v>2023</v>
      </c>
      <c r="P36">
        <f t="shared" si="9"/>
        <v>2</v>
      </c>
    </row>
    <row r="37" spans="1:16" hidden="1" x14ac:dyDescent="0.3">
      <c r="A37" s="5" t="s">
        <v>172</v>
      </c>
      <c r="B37" s="5" t="s">
        <v>7</v>
      </c>
      <c r="C37" s="5" t="s">
        <v>229</v>
      </c>
      <c r="D37" s="5" t="s">
        <v>4</v>
      </c>
      <c r="E37" s="5" t="s">
        <v>219</v>
      </c>
      <c r="F37" s="5" t="s">
        <v>223</v>
      </c>
      <c r="G37" s="6">
        <v>45033</v>
      </c>
      <c r="H37" s="8">
        <v>721.7</v>
      </c>
      <c r="I37" s="7">
        <v>1</v>
      </c>
      <c r="J37" s="8">
        <v>721.7</v>
      </c>
      <c r="K37" s="8">
        <f t="shared" si="5"/>
        <v>108.25500000000001</v>
      </c>
      <c r="L37" s="8">
        <v>757.78499999999997</v>
      </c>
      <c r="M37" s="9">
        <f t="shared" si="6"/>
        <v>36.084999999999923</v>
      </c>
      <c r="N37" s="10">
        <f t="shared" si="7"/>
        <v>4.7619047619047471E-2</v>
      </c>
      <c r="O37">
        <f t="shared" si="8"/>
        <v>2023</v>
      </c>
      <c r="P37">
        <f t="shared" si="9"/>
        <v>2</v>
      </c>
    </row>
    <row r="38" spans="1:16" x14ac:dyDescent="0.3">
      <c r="A38" s="5" t="s">
        <v>141</v>
      </c>
      <c r="B38" s="5" t="s">
        <v>3</v>
      </c>
      <c r="C38" s="5" t="s">
        <v>227</v>
      </c>
      <c r="D38" s="5" t="s">
        <v>6</v>
      </c>
      <c r="E38" s="5" t="s">
        <v>220</v>
      </c>
      <c r="F38" s="5" t="s">
        <v>222</v>
      </c>
      <c r="G38" s="6">
        <v>45004</v>
      </c>
      <c r="H38" s="8">
        <v>936.9</v>
      </c>
      <c r="I38" s="7">
        <v>7</v>
      </c>
      <c r="J38" s="8">
        <v>6558.3</v>
      </c>
      <c r="K38" s="8">
        <f t="shared" si="5"/>
        <v>983.745</v>
      </c>
      <c r="L38" s="8">
        <v>6886.2150000000001</v>
      </c>
      <c r="M38" s="25">
        <f t="shared" si="6"/>
        <v>327.91499999999996</v>
      </c>
      <c r="N38" s="26">
        <f t="shared" si="7"/>
        <v>4.7619047619047471E-2</v>
      </c>
      <c r="O38" s="27">
        <f t="shared" si="8"/>
        <v>2023</v>
      </c>
      <c r="P38" s="27">
        <f t="shared" si="9"/>
        <v>3</v>
      </c>
    </row>
    <row r="39" spans="1:16" hidden="1" x14ac:dyDescent="0.3">
      <c r="A39" s="5" t="s">
        <v>76</v>
      </c>
      <c r="B39" s="5" t="s">
        <v>5</v>
      </c>
      <c r="C39" s="5" t="s">
        <v>228</v>
      </c>
      <c r="D39" s="5" t="s">
        <v>4</v>
      </c>
      <c r="E39" s="5" t="s">
        <v>219</v>
      </c>
      <c r="F39" s="5" t="s">
        <v>224</v>
      </c>
      <c r="G39" s="6">
        <v>45051</v>
      </c>
      <c r="H39" s="8">
        <v>247.39999999999998</v>
      </c>
      <c r="I39" s="7">
        <v>3</v>
      </c>
      <c r="J39" s="8">
        <v>742.2</v>
      </c>
      <c r="K39" s="8">
        <f t="shared" si="5"/>
        <v>111.33</v>
      </c>
      <c r="L39" s="8">
        <v>779.31</v>
      </c>
      <c r="M39" s="9">
        <f t="shared" si="6"/>
        <v>37.1099999999999</v>
      </c>
      <c r="N39" s="10">
        <f t="shared" si="7"/>
        <v>4.7619047619047471E-2</v>
      </c>
      <c r="O39">
        <f t="shared" si="8"/>
        <v>2023</v>
      </c>
      <c r="P39">
        <f t="shared" si="9"/>
        <v>1</v>
      </c>
    </row>
    <row r="40" spans="1:16" hidden="1" x14ac:dyDescent="0.3">
      <c r="A40" s="5" t="s">
        <v>211</v>
      </c>
      <c r="B40" s="5" t="s">
        <v>5</v>
      </c>
      <c r="C40" s="5" t="s">
        <v>228</v>
      </c>
      <c r="D40" s="5" t="s">
        <v>4</v>
      </c>
      <c r="E40" s="5" t="s">
        <v>219</v>
      </c>
      <c r="F40" s="5" t="s">
        <v>225</v>
      </c>
      <c r="G40" s="6">
        <v>44969</v>
      </c>
      <c r="H40" s="8">
        <v>742.90000000000009</v>
      </c>
      <c r="I40" s="7">
        <v>1</v>
      </c>
      <c r="J40" s="8">
        <v>742.90000000000009</v>
      </c>
      <c r="K40" s="8">
        <f t="shared" si="5"/>
        <v>111.43500000000002</v>
      </c>
      <c r="L40" s="8">
        <v>780.04499999999996</v>
      </c>
      <c r="M40" s="9">
        <f t="shared" si="6"/>
        <v>37.144999999999868</v>
      </c>
      <c r="N40" s="10">
        <f t="shared" si="7"/>
        <v>4.7619047619047471E-2</v>
      </c>
      <c r="O40">
        <f t="shared" si="8"/>
        <v>2023</v>
      </c>
      <c r="P40">
        <f t="shared" si="9"/>
        <v>2</v>
      </c>
    </row>
    <row r="41" spans="1:16" hidden="1" x14ac:dyDescent="0.3">
      <c r="A41" s="5" t="s">
        <v>131</v>
      </c>
      <c r="B41" s="5" t="s">
        <v>5</v>
      </c>
      <c r="C41" s="5" t="s">
        <v>228</v>
      </c>
      <c r="D41" s="5" t="s">
        <v>6</v>
      </c>
      <c r="E41" s="5" t="s">
        <v>219</v>
      </c>
      <c r="F41" s="5" t="s">
        <v>225</v>
      </c>
      <c r="G41" s="6">
        <v>45104</v>
      </c>
      <c r="H41" s="8">
        <v>270.2</v>
      </c>
      <c r="I41" s="7">
        <v>3</v>
      </c>
      <c r="J41" s="8">
        <v>810.6</v>
      </c>
      <c r="K41" s="8">
        <f t="shared" si="5"/>
        <v>121.59</v>
      </c>
      <c r="L41" s="8">
        <v>851.13</v>
      </c>
      <c r="M41" s="9">
        <f t="shared" si="6"/>
        <v>40.529999999999973</v>
      </c>
      <c r="N41" s="10">
        <f t="shared" si="7"/>
        <v>4.7619047619047471E-2</v>
      </c>
      <c r="O41">
        <f t="shared" si="8"/>
        <v>2023</v>
      </c>
      <c r="P41">
        <f t="shared" si="9"/>
        <v>1</v>
      </c>
    </row>
    <row r="42" spans="1:16" x14ac:dyDescent="0.3">
      <c r="A42" s="5" t="s">
        <v>20</v>
      </c>
      <c r="B42" s="5" t="s">
        <v>3</v>
      </c>
      <c r="C42" s="5" t="s">
        <v>227</v>
      </c>
      <c r="D42" s="5" t="s">
        <v>6</v>
      </c>
      <c r="E42" s="5" t="s">
        <v>219</v>
      </c>
      <c r="F42" s="5" t="s">
        <v>224</v>
      </c>
      <c r="G42" s="6">
        <v>45234</v>
      </c>
      <c r="H42" s="8">
        <v>863.1</v>
      </c>
      <c r="I42" s="7">
        <v>7</v>
      </c>
      <c r="J42" s="8">
        <v>6041.7</v>
      </c>
      <c r="K42" s="8">
        <f t="shared" si="5"/>
        <v>906.255</v>
      </c>
      <c r="L42" s="8">
        <v>6343.7849999999999</v>
      </c>
      <c r="M42" s="25">
        <f t="shared" si="6"/>
        <v>302.08500000000004</v>
      </c>
      <c r="N42" s="26">
        <f t="shared" si="7"/>
        <v>4.7619047619047471E-2</v>
      </c>
      <c r="O42" s="27">
        <f t="shared" si="8"/>
        <v>2023</v>
      </c>
      <c r="P42" s="27">
        <f t="shared" si="9"/>
        <v>2</v>
      </c>
    </row>
    <row r="43" spans="1:16" hidden="1" x14ac:dyDescent="0.3">
      <c r="A43" s="5" t="s">
        <v>56</v>
      </c>
      <c r="B43" s="5" t="s">
        <v>7</v>
      </c>
      <c r="C43" s="5" t="s">
        <v>229</v>
      </c>
      <c r="D43" s="5" t="s">
        <v>4</v>
      </c>
      <c r="E43" s="5" t="s">
        <v>219</v>
      </c>
      <c r="F43" s="5" t="s">
        <v>222</v>
      </c>
      <c r="G43" s="6">
        <v>45011</v>
      </c>
      <c r="H43" s="8">
        <v>867.2</v>
      </c>
      <c r="I43" s="7">
        <v>1</v>
      </c>
      <c r="J43" s="8">
        <v>867.2</v>
      </c>
      <c r="K43" s="8">
        <f t="shared" si="5"/>
        <v>130.08000000000001</v>
      </c>
      <c r="L43" s="8">
        <v>910.56</v>
      </c>
      <c r="M43" s="9">
        <f t="shared" si="6"/>
        <v>43.3599999999999</v>
      </c>
      <c r="N43" s="10">
        <f t="shared" si="7"/>
        <v>4.7619047619047471E-2</v>
      </c>
      <c r="O43">
        <f t="shared" si="8"/>
        <v>2023</v>
      </c>
      <c r="P43">
        <f t="shared" si="9"/>
        <v>2</v>
      </c>
    </row>
    <row r="44" spans="1:16" x14ac:dyDescent="0.3">
      <c r="A44" s="5" t="s">
        <v>53</v>
      </c>
      <c r="B44" s="5" t="s">
        <v>3</v>
      </c>
      <c r="C44" s="5" t="s">
        <v>227</v>
      </c>
      <c r="D44" s="5" t="s">
        <v>6</v>
      </c>
      <c r="E44" s="5" t="s">
        <v>219</v>
      </c>
      <c r="F44" s="5" t="s">
        <v>223</v>
      </c>
      <c r="G44" s="6">
        <v>45276</v>
      </c>
      <c r="H44" s="8">
        <v>608.80000000000007</v>
      </c>
      <c r="I44" s="7">
        <v>9</v>
      </c>
      <c r="J44" s="8">
        <v>5479.2</v>
      </c>
      <c r="K44" s="8">
        <f t="shared" si="5"/>
        <v>821.88</v>
      </c>
      <c r="L44" s="8">
        <v>5753.16</v>
      </c>
      <c r="M44" s="25">
        <f t="shared" si="6"/>
        <v>273.96000000000004</v>
      </c>
      <c r="N44" s="26">
        <f t="shared" si="7"/>
        <v>4.7619047619047471E-2</v>
      </c>
      <c r="O44" s="27">
        <f t="shared" si="8"/>
        <v>2023</v>
      </c>
      <c r="P44" s="27">
        <f t="shared" si="9"/>
        <v>2</v>
      </c>
    </row>
    <row r="45" spans="1:16" x14ac:dyDescent="0.3">
      <c r="A45" s="5" t="s">
        <v>32</v>
      </c>
      <c r="B45" s="5" t="s">
        <v>3</v>
      </c>
      <c r="C45" s="5" t="s">
        <v>227</v>
      </c>
      <c r="D45" s="5" t="s">
        <v>4</v>
      </c>
      <c r="E45" s="5" t="s">
        <v>220</v>
      </c>
      <c r="F45" s="5" t="s">
        <v>221</v>
      </c>
      <c r="G45" s="6">
        <v>45124</v>
      </c>
      <c r="H45" s="8">
        <v>689.30000000000007</v>
      </c>
      <c r="I45" s="7">
        <v>7</v>
      </c>
      <c r="J45" s="8">
        <v>4825.1000000000004</v>
      </c>
      <c r="K45" s="8">
        <f t="shared" si="5"/>
        <v>723.76499999999999</v>
      </c>
      <c r="L45" s="8">
        <v>5066.3549999999996</v>
      </c>
      <c r="M45" s="25">
        <f t="shared" si="6"/>
        <v>241.2549999999992</v>
      </c>
      <c r="N45" s="26">
        <f t="shared" si="7"/>
        <v>4.7619047619047471E-2</v>
      </c>
      <c r="O45" s="27">
        <f t="shared" si="8"/>
        <v>2023</v>
      </c>
      <c r="P45" s="27">
        <f t="shared" si="9"/>
        <v>2</v>
      </c>
    </row>
    <row r="46" spans="1:16" hidden="1" x14ac:dyDescent="0.3">
      <c r="A46" s="5" t="s">
        <v>95</v>
      </c>
      <c r="B46" s="5" t="s">
        <v>5</v>
      </c>
      <c r="C46" s="5" t="s">
        <v>228</v>
      </c>
      <c r="D46" s="5" t="s">
        <v>6</v>
      </c>
      <c r="E46" s="5" t="s">
        <v>220</v>
      </c>
      <c r="F46" s="5" t="s">
        <v>221</v>
      </c>
      <c r="G46" s="6">
        <v>45204</v>
      </c>
      <c r="H46" s="8">
        <v>203.79999999999998</v>
      </c>
      <c r="I46" s="7">
        <v>5</v>
      </c>
      <c r="J46" s="8">
        <v>1019</v>
      </c>
      <c r="K46" s="8">
        <f t="shared" si="5"/>
        <v>152.85</v>
      </c>
      <c r="L46" s="8">
        <v>1069.95</v>
      </c>
      <c r="M46" s="9">
        <f t="shared" si="6"/>
        <v>50.950000000000045</v>
      </c>
      <c r="N46" s="10">
        <f t="shared" si="7"/>
        <v>4.7619047619047471E-2</v>
      </c>
      <c r="O46">
        <f t="shared" si="8"/>
        <v>2023</v>
      </c>
      <c r="P46">
        <f t="shared" si="9"/>
        <v>1</v>
      </c>
    </row>
    <row r="47" spans="1:16" hidden="1" x14ac:dyDescent="0.3">
      <c r="A47" s="5" t="s">
        <v>209</v>
      </c>
      <c r="B47" s="5" t="s">
        <v>7</v>
      </c>
      <c r="C47" s="5" t="s">
        <v>229</v>
      </c>
      <c r="D47" s="5" t="s">
        <v>6</v>
      </c>
      <c r="E47" s="5" t="s">
        <v>219</v>
      </c>
      <c r="F47" s="5" t="s">
        <v>222</v>
      </c>
      <c r="G47" s="6">
        <v>44995</v>
      </c>
      <c r="H47" s="8">
        <v>255.5</v>
      </c>
      <c r="I47" s="7">
        <v>4</v>
      </c>
      <c r="J47" s="8">
        <v>1022</v>
      </c>
      <c r="K47" s="8">
        <f t="shared" si="5"/>
        <v>153.29999999999998</v>
      </c>
      <c r="L47" s="8">
        <v>1073.0999999999999</v>
      </c>
      <c r="M47" s="9">
        <f t="shared" si="6"/>
        <v>51.099999999999909</v>
      </c>
      <c r="N47" s="10">
        <f t="shared" si="7"/>
        <v>4.7619047619047471E-2</v>
      </c>
      <c r="O47">
        <f t="shared" si="8"/>
        <v>2023</v>
      </c>
      <c r="P47">
        <f t="shared" si="9"/>
        <v>1</v>
      </c>
    </row>
    <row r="48" spans="1:16" x14ac:dyDescent="0.3">
      <c r="A48" s="5" t="s">
        <v>160</v>
      </c>
      <c r="B48" s="5" t="s">
        <v>3</v>
      </c>
      <c r="C48" s="5" t="s">
        <v>227</v>
      </c>
      <c r="D48" s="5" t="s">
        <v>6</v>
      </c>
      <c r="E48" s="5" t="s">
        <v>220</v>
      </c>
      <c r="F48" s="5" t="s">
        <v>222</v>
      </c>
      <c r="G48" s="6">
        <v>45246</v>
      </c>
      <c r="H48" s="8">
        <v>779.5</v>
      </c>
      <c r="I48" s="7">
        <v>6</v>
      </c>
      <c r="J48" s="8">
        <v>4677</v>
      </c>
      <c r="K48" s="8">
        <f t="shared" ref="K48:K79" si="10">J48*$L$4</f>
        <v>701.55</v>
      </c>
      <c r="L48" s="8">
        <v>4910.8499999999995</v>
      </c>
      <c r="M48" s="25">
        <f t="shared" ref="M48:M79" si="11">L48-J48</f>
        <v>233.84999999999945</v>
      </c>
      <c r="N48" s="26">
        <f t="shared" ref="N48:N79" si="12">($L$8-$J$8)/$L$8</f>
        <v>4.7619047619047471E-2</v>
      </c>
      <c r="O48" s="27">
        <f t="shared" ref="O48:O79" si="13">YEAR(G48)</f>
        <v>2023</v>
      </c>
      <c r="P48" s="27">
        <f t="shared" ref="P48:P79" si="14">IF(H48&lt;400,1,IF(H48&lt;900,2,3))</f>
        <v>2</v>
      </c>
    </row>
    <row r="49" spans="1:16" hidden="1" x14ac:dyDescent="0.3">
      <c r="A49" s="5" t="s">
        <v>132</v>
      </c>
      <c r="B49" s="5" t="s">
        <v>7</v>
      </c>
      <c r="C49" s="5" t="s">
        <v>229</v>
      </c>
      <c r="D49" s="5" t="s">
        <v>4</v>
      </c>
      <c r="E49" s="5" t="s">
        <v>219</v>
      </c>
      <c r="F49" s="5" t="s">
        <v>225</v>
      </c>
      <c r="G49" s="6">
        <v>44974</v>
      </c>
      <c r="H49" s="8">
        <v>219.4</v>
      </c>
      <c r="I49" s="7">
        <v>5</v>
      </c>
      <c r="J49" s="8">
        <v>1097</v>
      </c>
      <c r="K49" s="8">
        <f t="shared" si="10"/>
        <v>164.54999999999998</v>
      </c>
      <c r="L49" s="8">
        <v>1151.8499999999999</v>
      </c>
      <c r="M49" s="9">
        <f t="shared" si="11"/>
        <v>54.849999999999909</v>
      </c>
      <c r="N49" s="10">
        <f t="shared" si="12"/>
        <v>4.7619047619047471E-2</v>
      </c>
      <c r="O49">
        <f t="shared" si="13"/>
        <v>2023</v>
      </c>
      <c r="P49">
        <f t="shared" si="14"/>
        <v>1</v>
      </c>
    </row>
    <row r="50" spans="1:16" hidden="1" x14ac:dyDescent="0.3">
      <c r="A50" s="5" t="s">
        <v>57</v>
      </c>
      <c r="B50" s="5" t="s">
        <v>5</v>
      </c>
      <c r="C50" s="5" t="s">
        <v>228</v>
      </c>
      <c r="D50" s="5" t="s">
        <v>4</v>
      </c>
      <c r="E50" s="5" t="s">
        <v>219</v>
      </c>
      <c r="F50" s="5" t="s">
        <v>222</v>
      </c>
      <c r="G50" s="6">
        <v>45175</v>
      </c>
      <c r="H50" s="8">
        <v>561.1</v>
      </c>
      <c r="I50" s="7">
        <v>2</v>
      </c>
      <c r="J50" s="8">
        <v>1122.2</v>
      </c>
      <c r="K50" s="8">
        <f t="shared" si="10"/>
        <v>168.33</v>
      </c>
      <c r="L50" s="8">
        <v>1178.31</v>
      </c>
      <c r="M50" s="9">
        <f t="shared" si="11"/>
        <v>56.1099999999999</v>
      </c>
      <c r="N50" s="10">
        <f t="shared" si="12"/>
        <v>4.7619047619047471E-2</v>
      </c>
      <c r="O50">
        <f t="shared" si="13"/>
        <v>2023</v>
      </c>
      <c r="P50">
        <f t="shared" si="14"/>
        <v>2</v>
      </c>
    </row>
    <row r="51" spans="1:16" hidden="1" x14ac:dyDescent="0.3">
      <c r="A51" s="5" t="s">
        <v>64</v>
      </c>
      <c r="B51" s="5" t="s">
        <v>7</v>
      </c>
      <c r="C51" s="5" t="s">
        <v>229</v>
      </c>
      <c r="D51" s="5" t="s">
        <v>4</v>
      </c>
      <c r="E51" s="5" t="s">
        <v>219</v>
      </c>
      <c r="F51" s="5" t="s">
        <v>223</v>
      </c>
      <c r="G51" s="6">
        <v>45072</v>
      </c>
      <c r="H51" s="8">
        <v>189.3</v>
      </c>
      <c r="I51" s="7">
        <v>6</v>
      </c>
      <c r="J51" s="8">
        <v>1135.8</v>
      </c>
      <c r="K51" s="8">
        <f t="shared" si="10"/>
        <v>170.36999999999998</v>
      </c>
      <c r="L51" s="8">
        <v>1192.5899999999999</v>
      </c>
      <c r="M51" s="9">
        <f t="shared" si="11"/>
        <v>56.789999999999964</v>
      </c>
      <c r="N51" s="10">
        <f t="shared" si="12"/>
        <v>4.7619047619047471E-2</v>
      </c>
      <c r="O51">
        <f t="shared" si="13"/>
        <v>2023</v>
      </c>
      <c r="P51">
        <f t="shared" si="14"/>
        <v>1</v>
      </c>
    </row>
    <row r="52" spans="1:16" x14ac:dyDescent="0.3">
      <c r="A52" s="5" t="s">
        <v>19</v>
      </c>
      <c r="B52" s="5" t="s">
        <v>3</v>
      </c>
      <c r="C52" s="5" t="s">
        <v>227</v>
      </c>
      <c r="D52" s="5" t="s">
        <v>4</v>
      </c>
      <c r="E52" s="5" t="s">
        <v>219</v>
      </c>
      <c r="F52" s="5" t="s">
        <v>221</v>
      </c>
      <c r="G52" s="6">
        <v>45078</v>
      </c>
      <c r="H52" s="8">
        <v>582.20000000000005</v>
      </c>
      <c r="I52" s="7">
        <v>8</v>
      </c>
      <c r="J52" s="8">
        <v>4657.6000000000004</v>
      </c>
      <c r="K52" s="8">
        <f t="shared" si="10"/>
        <v>698.64</v>
      </c>
      <c r="L52" s="8">
        <v>4890.4799999999996</v>
      </c>
      <c r="M52" s="25">
        <f t="shared" si="11"/>
        <v>232.8799999999992</v>
      </c>
      <c r="N52" s="26">
        <f t="shared" si="12"/>
        <v>4.7619047619047471E-2</v>
      </c>
      <c r="O52" s="27">
        <f t="shared" si="13"/>
        <v>2023</v>
      </c>
      <c r="P52" s="27">
        <f t="shared" si="14"/>
        <v>2</v>
      </c>
    </row>
    <row r="53" spans="1:16" hidden="1" x14ac:dyDescent="0.3">
      <c r="A53" s="5" t="s">
        <v>88</v>
      </c>
      <c r="B53" s="5" t="s">
        <v>7</v>
      </c>
      <c r="C53" s="5" t="s">
        <v>229</v>
      </c>
      <c r="D53" s="5" t="s">
        <v>4</v>
      </c>
      <c r="E53" s="5" t="s">
        <v>220</v>
      </c>
      <c r="F53" s="5" t="s">
        <v>226</v>
      </c>
      <c r="G53" s="6">
        <v>45079</v>
      </c>
      <c r="H53" s="8">
        <v>485.20000000000005</v>
      </c>
      <c r="I53" s="7">
        <v>3</v>
      </c>
      <c r="J53" s="8">
        <v>1455.6</v>
      </c>
      <c r="K53" s="8">
        <f t="shared" si="10"/>
        <v>218.33999999999997</v>
      </c>
      <c r="L53" s="8">
        <v>1528.3799999999999</v>
      </c>
      <c r="M53" s="9">
        <f t="shared" si="11"/>
        <v>72.779999999999973</v>
      </c>
      <c r="N53" s="10">
        <f t="shared" si="12"/>
        <v>4.7619047619047471E-2</v>
      </c>
      <c r="O53">
        <f t="shared" si="13"/>
        <v>2023</v>
      </c>
      <c r="P53">
        <f t="shared" si="14"/>
        <v>2</v>
      </c>
    </row>
    <row r="54" spans="1:16" x14ac:dyDescent="0.3">
      <c r="A54" s="5" t="s">
        <v>171</v>
      </c>
      <c r="B54" s="5" t="s">
        <v>3</v>
      </c>
      <c r="C54" s="5" t="s">
        <v>227</v>
      </c>
      <c r="D54" s="5" t="s">
        <v>4</v>
      </c>
      <c r="E54" s="5" t="s">
        <v>220</v>
      </c>
      <c r="F54" s="5" t="s">
        <v>226</v>
      </c>
      <c r="G54" s="6">
        <v>45089</v>
      </c>
      <c r="H54" s="8">
        <v>922.90000000000009</v>
      </c>
      <c r="I54" s="7">
        <v>5</v>
      </c>
      <c r="J54" s="8">
        <v>4614.5</v>
      </c>
      <c r="K54" s="8">
        <f t="shared" si="10"/>
        <v>692.17499999999995</v>
      </c>
      <c r="L54" s="8">
        <v>4845.2249999999995</v>
      </c>
      <c r="M54" s="25">
        <f t="shared" si="11"/>
        <v>230.72499999999945</v>
      </c>
      <c r="N54" s="26">
        <f t="shared" si="12"/>
        <v>4.7619047619047471E-2</v>
      </c>
      <c r="O54" s="27">
        <f t="shared" si="13"/>
        <v>2023</v>
      </c>
      <c r="P54" s="27">
        <f t="shared" si="14"/>
        <v>3</v>
      </c>
    </row>
    <row r="55" spans="1:16" hidden="1" x14ac:dyDescent="0.3">
      <c r="A55" s="5" t="s">
        <v>193</v>
      </c>
      <c r="B55" s="5" t="s">
        <v>5</v>
      </c>
      <c r="C55" s="5" t="s">
        <v>228</v>
      </c>
      <c r="D55" s="5" t="s">
        <v>6</v>
      </c>
      <c r="E55" s="5" t="s">
        <v>219</v>
      </c>
      <c r="F55" s="5" t="s">
        <v>225</v>
      </c>
      <c r="G55" s="6">
        <v>45220</v>
      </c>
      <c r="H55" s="8">
        <v>225.10000000000002</v>
      </c>
      <c r="I55" s="7">
        <v>7</v>
      </c>
      <c r="J55" s="8">
        <v>1575.6999999999998</v>
      </c>
      <c r="K55" s="8">
        <f t="shared" si="10"/>
        <v>236.35499999999996</v>
      </c>
      <c r="L55" s="8">
        <v>1654.4849999999999</v>
      </c>
      <c r="M55" s="9">
        <f t="shared" si="11"/>
        <v>78.785000000000082</v>
      </c>
      <c r="N55" s="10">
        <f t="shared" si="12"/>
        <v>4.7619047619047471E-2</v>
      </c>
      <c r="O55">
        <f t="shared" si="13"/>
        <v>2023</v>
      </c>
      <c r="P55">
        <f t="shared" si="14"/>
        <v>1</v>
      </c>
    </row>
    <row r="56" spans="1:16" hidden="1" x14ac:dyDescent="0.3">
      <c r="A56" s="5" t="s">
        <v>190</v>
      </c>
      <c r="B56" s="5" t="s">
        <v>7</v>
      </c>
      <c r="C56" s="5" t="s">
        <v>229</v>
      </c>
      <c r="D56" s="5" t="s">
        <v>6</v>
      </c>
      <c r="E56" s="5" t="s">
        <v>220</v>
      </c>
      <c r="F56" s="5" t="s">
        <v>226</v>
      </c>
      <c r="G56" s="6">
        <v>44960</v>
      </c>
      <c r="H56" s="8">
        <v>197.89999999999998</v>
      </c>
      <c r="I56" s="7">
        <v>8</v>
      </c>
      <c r="J56" s="8">
        <v>1583.1999999999998</v>
      </c>
      <c r="K56" s="8">
        <f t="shared" si="10"/>
        <v>237.47999999999996</v>
      </c>
      <c r="L56" s="8">
        <v>1662.36</v>
      </c>
      <c r="M56" s="9">
        <f t="shared" si="11"/>
        <v>79.160000000000082</v>
      </c>
      <c r="N56" s="10">
        <f t="shared" si="12"/>
        <v>4.7619047619047471E-2</v>
      </c>
      <c r="O56">
        <f t="shared" si="13"/>
        <v>2023</v>
      </c>
      <c r="P56">
        <f t="shared" si="14"/>
        <v>1</v>
      </c>
    </row>
    <row r="57" spans="1:16" x14ac:dyDescent="0.3">
      <c r="A57" s="5" t="s">
        <v>194</v>
      </c>
      <c r="B57" s="5" t="s">
        <v>3</v>
      </c>
      <c r="C57" s="5" t="s">
        <v>227</v>
      </c>
      <c r="D57" s="5" t="s">
        <v>6</v>
      </c>
      <c r="E57" s="5" t="s">
        <v>220</v>
      </c>
      <c r="F57" s="5" t="s">
        <v>226</v>
      </c>
      <c r="G57" s="6">
        <v>44928</v>
      </c>
      <c r="H57" s="8">
        <v>738.8</v>
      </c>
      <c r="I57" s="7">
        <v>6</v>
      </c>
      <c r="J57" s="8">
        <v>4432.7999999999993</v>
      </c>
      <c r="K57" s="8">
        <f t="shared" si="10"/>
        <v>664.91999999999985</v>
      </c>
      <c r="L57" s="8">
        <v>4654.4400000000005</v>
      </c>
      <c r="M57" s="25">
        <f t="shared" si="11"/>
        <v>221.64000000000124</v>
      </c>
      <c r="N57" s="26">
        <f t="shared" si="12"/>
        <v>4.7619047619047471E-2</v>
      </c>
      <c r="O57" s="27">
        <f t="shared" si="13"/>
        <v>2023</v>
      </c>
      <c r="P57" s="27">
        <f t="shared" si="14"/>
        <v>2</v>
      </c>
    </row>
    <row r="58" spans="1:16" x14ac:dyDescent="0.3">
      <c r="A58" s="5" t="s">
        <v>33</v>
      </c>
      <c r="B58" s="5" t="s">
        <v>3</v>
      </c>
      <c r="C58" s="5" t="s">
        <v>227</v>
      </c>
      <c r="D58" s="5" t="s">
        <v>6</v>
      </c>
      <c r="E58" s="5" t="s">
        <v>219</v>
      </c>
      <c r="F58" s="5" t="s">
        <v>224</v>
      </c>
      <c r="G58" s="6">
        <v>44930</v>
      </c>
      <c r="H58" s="8">
        <v>726.1</v>
      </c>
      <c r="I58" s="7">
        <v>6</v>
      </c>
      <c r="J58" s="8">
        <v>4356.6000000000004</v>
      </c>
      <c r="K58" s="8">
        <f t="shared" si="10"/>
        <v>653.49</v>
      </c>
      <c r="L58" s="8">
        <v>4574.43</v>
      </c>
      <c r="M58" s="25">
        <f t="shared" si="11"/>
        <v>217.82999999999993</v>
      </c>
      <c r="N58" s="26">
        <f t="shared" si="12"/>
        <v>4.7619047619047471E-2</v>
      </c>
      <c r="O58" s="27">
        <f t="shared" si="13"/>
        <v>2023</v>
      </c>
      <c r="P58" s="27">
        <f t="shared" si="14"/>
        <v>2</v>
      </c>
    </row>
    <row r="59" spans="1:16" hidden="1" x14ac:dyDescent="0.3">
      <c r="A59" s="5" t="s">
        <v>122</v>
      </c>
      <c r="B59" s="5" t="s">
        <v>5</v>
      </c>
      <c r="C59" s="5" t="s">
        <v>228</v>
      </c>
      <c r="D59" s="5" t="s">
        <v>6</v>
      </c>
      <c r="E59" s="5" t="s">
        <v>219</v>
      </c>
      <c r="F59" s="5" t="s">
        <v>225</v>
      </c>
      <c r="G59" s="6">
        <v>45216</v>
      </c>
      <c r="H59" s="8">
        <v>273.8</v>
      </c>
      <c r="I59" s="7">
        <v>6</v>
      </c>
      <c r="J59" s="8">
        <v>1642.8</v>
      </c>
      <c r="K59" s="8">
        <f t="shared" si="10"/>
        <v>246.42</v>
      </c>
      <c r="L59" s="8">
        <v>1724.94</v>
      </c>
      <c r="M59" s="9">
        <f t="shared" si="11"/>
        <v>82.1400000000001</v>
      </c>
      <c r="N59" s="10">
        <f t="shared" si="12"/>
        <v>4.7619047619047471E-2</v>
      </c>
      <c r="O59">
        <f t="shared" si="13"/>
        <v>2023</v>
      </c>
      <c r="P59">
        <f t="shared" si="14"/>
        <v>1</v>
      </c>
    </row>
    <row r="60" spans="1:16" hidden="1" x14ac:dyDescent="0.3">
      <c r="A60" s="5" t="s">
        <v>25</v>
      </c>
      <c r="B60" s="5" t="s">
        <v>7</v>
      </c>
      <c r="C60" s="5" t="s">
        <v>229</v>
      </c>
      <c r="D60" s="5" t="s">
        <v>4</v>
      </c>
      <c r="E60" s="5" t="s">
        <v>220</v>
      </c>
      <c r="F60" s="5" t="s">
        <v>226</v>
      </c>
      <c r="G60" s="6">
        <v>44987</v>
      </c>
      <c r="H60" s="8">
        <v>548.40000000000009</v>
      </c>
      <c r="I60" s="7">
        <v>3</v>
      </c>
      <c r="J60" s="8">
        <v>1645.2</v>
      </c>
      <c r="K60" s="8">
        <f t="shared" si="10"/>
        <v>246.78</v>
      </c>
      <c r="L60" s="8">
        <v>1727.46</v>
      </c>
      <c r="M60" s="9">
        <f t="shared" si="11"/>
        <v>82.259999999999991</v>
      </c>
      <c r="N60" s="10">
        <f t="shared" si="12"/>
        <v>4.7619047619047471E-2</v>
      </c>
      <c r="O60">
        <f t="shared" si="13"/>
        <v>2023</v>
      </c>
      <c r="P60">
        <f t="shared" si="14"/>
        <v>2</v>
      </c>
    </row>
    <row r="61" spans="1:16" hidden="1" x14ac:dyDescent="0.3">
      <c r="A61" s="5" t="s">
        <v>188</v>
      </c>
      <c r="B61" s="5" t="s">
        <v>5</v>
      </c>
      <c r="C61" s="5" t="s">
        <v>228</v>
      </c>
      <c r="D61" s="5" t="s">
        <v>6</v>
      </c>
      <c r="E61" s="5" t="s">
        <v>219</v>
      </c>
      <c r="F61" s="5" t="s">
        <v>223</v>
      </c>
      <c r="G61" s="6">
        <v>45108</v>
      </c>
      <c r="H61" s="8">
        <v>208.5</v>
      </c>
      <c r="I61" s="7">
        <v>8</v>
      </c>
      <c r="J61" s="8">
        <v>1668</v>
      </c>
      <c r="K61" s="8">
        <f t="shared" si="10"/>
        <v>250.2</v>
      </c>
      <c r="L61" s="8">
        <v>1751.3999999999999</v>
      </c>
      <c r="M61" s="9">
        <f t="shared" si="11"/>
        <v>83.399999999999864</v>
      </c>
      <c r="N61" s="10">
        <f t="shared" si="12"/>
        <v>4.7619047619047471E-2</v>
      </c>
      <c r="O61">
        <f t="shared" si="13"/>
        <v>2023</v>
      </c>
      <c r="P61">
        <f t="shared" si="14"/>
        <v>1</v>
      </c>
    </row>
    <row r="62" spans="1:16" x14ac:dyDescent="0.3">
      <c r="A62" s="5" t="s">
        <v>186</v>
      </c>
      <c r="B62" s="5" t="s">
        <v>3</v>
      </c>
      <c r="C62" s="5" t="s">
        <v>227</v>
      </c>
      <c r="D62" s="5" t="s">
        <v>6</v>
      </c>
      <c r="E62" s="5" t="s">
        <v>219</v>
      </c>
      <c r="F62" s="5" t="s">
        <v>221</v>
      </c>
      <c r="G62" s="6">
        <v>45142</v>
      </c>
      <c r="H62" s="8">
        <v>700.1</v>
      </c>
      <c r="I62" s="7">
        <v>5</v>
      </c>
      <c r="J62" s="8">
        <v>3500.5</v>
      </c>
      <c r="K62" s="8">
        <f t="shared" si="10"/>
        <v>525.07499999999993</v>
      </c>
      <c r="L62" s="8">
        <v>3675.5250000000001</v>
      </c>
      <c r="M62" s="25">
        <f t="shared" si="11"/>
        <v>175.02500000000009</v>
      </c>
      <c r="N62" s="26">
        <f t="shared" si="12"/>
        <v>4.7619047619047471E-2</v>
      </c>
      <c r="O62" s="27">
        <f t="shared" si="13"/>
        <v>2023</v>
      </c>
      <c r="P62" s="27">
        <f t="shared" si="14"/>
        <v>2</v>
      </c>
    </row>
    <row r="63" spans="1:16" hidden="1" x14ac:dyDescent="0.3">
      <c r="A63" s="5" t="s">
        <v>63</v>
      </c>
      <c r="B63" s="5" t="s">
        <v>7</v>
      </c>
      <c r="C63" s="5" t="s">
        <v>229</v>
      </c>
      <c r="D63" s="5" t="s">
        <v>4</v>
      </c>
      <c r="E63" s="5" t="s">
        <v>220</v>
      </c>
      <c r="F63" s="5" t="s">
        <v>226</v>
      </c>
      <c r="G63" s="6">
        <v>45121</v>
      </c>
      <c r="H63" s="8">
        <v>200.10000000000002</v>
      </c>
      <c r="I63" s="7">
        <v>9</v>
      </c>
      <c r="J63" s="8">
        <v>1800.9</v>
      </c>
      <c r="K63" s="8">
        <f t="shared" si="10"/>
        <v>270.13499999999999</v>
      </c>
      <c r="L63" s="8">
        <v>1890.9450000000002</v>
      </c>
      <c r="M63" s="9">
        <f t="shared" si="11"/>
        <v>90.045000000000073</v>
      </c>
      <c r="N63" s="10">
        <f t="shared" si="12"/>
        <v>4.7619047619047471E-2</v>
      </c>
      <c r="O63">
        <f t="shared" si="13"/>
        <v>2023</v>
      </c>
      <c r="P63">
        <f t="shared" si="14"/>
        <v>1</v>
      </c>
    </row>
    <row r="64" spans="1:16" hidden="1" x14ac:dyDescent="0.3">
      <c r="A64" s="5" t="s">
        <v>206</v>
      </c>
      <c r="B64" s="5" t="s">
        <v>7</v>
      </c>
      <c r="C64" s="5" t="s">
        <v>229</v>
      </c>
      <c r="D64" s="5" t="s">
        <v>6</v>
      </c>
      <c r="E64" s="5" t="s">
        <v>220</v>
      </c>
      <c r="F64" s="5" t="s">
        <v>222</v>
      </c>
      <c r="G64" s="6">
        <v>45209</v>
      </c>
      <c r="H64" s="8">
        <v>770.40000000000009</v>
      </c>
      <c r="I64" s="7">
        <v>3</v>
      </c>
      <c r="J64" s="8">
        <v>2311.1999999999998</v>
      </c>
      <c r="K64" s="8">
        <f t="shared" si="10"/>
        <v>346.67999999999995</v>
      </c>
      <c r="L64" s="8">
        <v>2426.7599999999998</v>
      </c>
      <c r="M64" s="9">
        <f t="shared" si="11"/>
        <v>115.55999999999995</v>
      </c>
      <c r="N64" s="10">
        <f t="shared" si="12"/>
        <v>4.7619047619047471E-2</v>
      </c>
      <c r="O64">
        <f t="shared" si="13"/>
        <v>2023</v>
      </c>
      <c r="P64">
        <f t="shared" si="14"/>
        <v>2</v>
      </c>
    </row>
    <row r="65" spans="1:16" x14ac:dyDescent="0.3">
      <c r="A65" s="5" t="s">
        <v>103</v>
      </c>
      <c r="B65" s="5" t="s">
        <v>3</v>
      </c>
      <c r="C65" s="5" t="s">
        <v>227</v>
      </c>
      <c r="D65" s="5" t="s">
        <v>4</v>
      </c>
      <c r="E65" s="5" t="s">
        <v>220</v>
      </c>
      <c r="F65" s="5" t="s">
        <v>226</v>
      </c>
      <c r="G65" s="6">
        <v>44938</v>
      </c>
      <c r="H65" s="8">
        <v>493.8</v>
      </c>
      <c r="I65" s="7">
        <v>7</v>
      </c>
      <c r="J65" s="8">
        <v>3456.6000000000004</v>
      </c>
      <c r="K65" s="8">
        <f t="shared" si="10"/>
        <v>518.49</v>
      </c>
      <c r="L65" s="8">
        <v>3629.43</v>
      </c>
      <c r="M65" s="25">
        <f t="shared" si="11"/>
        <v>172.82999999999947</v>
      </c>
      <c r="N65" s="26">
        <f t="shared" si="12"/>
        <v>4.7619047619047471E-2</v>
      </c>
      <c r="O65" s="27">
        <f t="shared" si="13"/>
        <v>2023</v>
      </c>
      <c r="P65" s="27">
        <f t="shared" si="14"/>
        <v>2</v>
      </c>
    </row>
    <row r="66" spans="1:16" hidden="1" x14ac:dyDescent="0.3">
      <c r="A66" s="5" t="s">
        <v>55</v>
      </c>
      <c r="B66" s="5" t="s">
        <v>7</v>
      </c>
      <c r="C66" s="5" t="s">
        <v>229</v>
      </c>
      <c r="D66" s="5" t="s">
        <v>4</v>
      </c>
      <c r="E66" s="5" t="s">
        <v>219</v>
      </c>
      <c r="F66" s="5" t="s">
        <v>222</v>
      </c>
      <c r="G66" s="6">
        <v>45168</v>
      </c>
      <c r="H66" s="8">
        <v>301.2</v>
      </c>
      <c r="I66" s="7">
        <v>8</v>
      </c>
      <c r="J66" s="8">
        <v>2409.6</v>
      </c>
      <c r="K66" s="8">
        <f t="shared" si="10"/>
        <v>361.44</v>
      </c>
      <c r="L66" s="8">
        <v>2530.08</v>
      </c>
      <c r="M66" s="9">
        <f t="shared" si="11"/>
        <v>120.48000000000002</v>
      </c>
      <c r="N66" s="10">
        <f t="shared" si="12"/>
        <v>4.7619047619047471E-2</v>
      </c>
      <c r="O66">
        <f t="shared" si="13"/>
        <v>2023</v>
      </c>
      <c r="P66">
        <f t="shared" si="14"/>
        <v>1</v>
      </c>
    </row>
    <row r="67" spans="1:16" hidden="1" x14ac:dyDescent="0.3">
      <c r="A67" s="5" t="s">
        <v>173</v>
      </c>
      <c r="B67" s="5" t="s">
        <v>7</v>
      </c>
      <c r="C67" s="5" t="s">
        <v>229</v>
      </c>
      <c r="D67" s="5" t="s">
        <v>6</v>
      </c>
      <c r="E67" s="5" t="s">
        <v>220</v>
      </c>
      <c r="F67" s="5" t="s">
        <v>222</v>
      </c>
      <c r="G67" s="6">
        <v>45000</v>
      </c>
      <c r="H67" s="8">
        <v>502.8</v>
      </c>
      <c r="I67" s="7">
        <v>5</v>
      </c>
      <c r="J67" s="8">
        <v>2514</v>
      </c>
      <c r="K67" s="8">
        <f t="shared" si="10"/>
        <v>377.09999999999997</v>
      </c>
      <c r="L67" s="8">
        <v>2639.7000000000003</v>
      </c>
      <c r="M67" s="9">
        <f t="shared" si="11"/>
        <v>125.70000000000027</v>
      </c>
      <c r="N67" s="10">
        <f t="shared" si="12"/>
        <v>4.7619047619047471E-2</v>
      </c>
      <c r="O67">
        <f t="shared" si="13"/>
        <v>2023</v>
      </c>
      <c r="P67">
        <f t="shared" si="14"/>
        <v>2</v>
      </c>
    </row>
    <row r="68" spans="1:16" hidden="1" x14ac:dyDescent="0.3">
      <c r="A68" s="5" t="s">
        <v>37</v>
      </c>
      <c r="B68" s="5" t="s">
        <v>7</v>
      </c>
      <c r="C68" s="5" t="s">
        <v>229</v>
      </c>
      <c r="D68" s="5" t="s">
        <v>6</v>
      </c>
      <c r="E68" s="5" t="s">
        <v>219</v>
      </c>
      <c r="F68" s="5" t="s">
        <v>221</v>
      </c>
      <c r="G68" s="6">
        <v>44937</v>
      </c>
      <c r="H68" s="8">
        <v>879.80000000000007</v>
      </c>
      <c r="I68" s="7">
        <v>3</v>
      </c>
      <c r="J68" s="8">
        <v>2639.4</v>
      </c>
      <c r="K68" s="8">
        <f t="shared" si="10"/>
        <v>395.91</v>
      </c>
      <c r="L68" s="8">
        <v>2771.37</v>
      </c>
      <c r="M68" s="9">
        <f t="shared" si="11"/>
        <v>131.9699999999998</v>
      </c>
      <c r="N68" s="10">
        <f t="shared" si="12"/>
        <v>4.7619047619047471E-2</v>
      </c>
      <c r="O68">
        <f t="shared" si="13"/>
        <v>2023</v>
      </c>
      <c r="P68">
        <f t="shared" si="14"/>
        <v>2</v>
      </c>
    </row>
    <row r="69" spans="1:16" x14ac:dyDescent="0.3">
      <c r="A69" s="5" t="s">
        <v>52</v>
      </c>
      <c r="B69" s="5" t="s">
        <v>3</v>
      </c>
      <c r="C69" s="5" t="s">
        <v>227</v>
      </c>
      <c r="D69" s="5" t="s">
        <v>4</v>
      </c>
      <c r="E69" s="5" t="s">
        <v>219</v>
      </c>
      <c r="F69" s="5" t="s">
        <v>224</v>
      </c>
      <c r="G69" s="6">
        <v>45086</v>
      </c>
      <c r="H69" s="8">
        <v>626.19999999999993</v>
      </c>
      <c r="I69" s="7">
        <v>5</v>
      </c>
      <c r="J69" s="8">
        <v>3131</v>
      </c>
      <c r="K69" s="8">
        <f t="shared" si="10"/>
        <v>469.65</v>
      </c>
      <c r="L69" s="8">
        <v>3287.55</v>
      </c>
      <c r="M69" s="25">
        <f t="shared" si="11"/>
        <v>156.55000000000018</v>
      </c>
      <c r="N69" s="26">
        <f t="shared" si="12"/>
        <v>4.7619047619047471E-2</v>
      </c>
      <c r="O69" s="27">
        <f t="shared" si="13"/>
        <v>2023</v>
      </c>
      <c r="P69" s="27">
        <f t="shared" si="14"/>
        <v>2</v>
      </c>
    </row>
    <row r="70" spans="1:16" hidden="1" x14ac:dyDescent="0.3">
      <c r="A70" s="5" t="s">
        <v>146</v>
      </c>
      <c r="B70" s="5" t="s">
        <v>7</v>
      </c>
      <c r="C70" s="5" t="s">
        <v>229</v>
      </c>
      <c r="D70" s="5" t="s">
        <v>6</v>
      </c>
      <c r="E70" s="5" t="s">
        <v>219</v>
      </c>
      <c r="F70" s="5" t="s">
        <v>225</v>
      </c>
      <c r="G70" s="6">
        <v>45286</v>
      </c>
      <c r="H70" s="8">
        <v>396.2</v>
      </c>
      <c r="I70" s="7">
        <v>7</v>
      </c>
      <c r="J70" s="8">
        <v>2773.3999999999996</v>
      </c>
      <c r="K70" s="8">
        <f t="shared" si="10"/>
        <v>416.00999999999993</v>
      </c>
      <c r="L70" s="8">
        <v>2912.0699999999997</v>
      </c>
      <c r="M70" s="9">
        <f t="shared" si="11"/>
        <v>138.67000000000007</v>
      </c>
      <c r="N70" s="10">
        <f t="shared" si="12"/>
        <v>4.7619047619047471E-2</v>
      </c>
      <c r="O70">
        <f t="shared" si="13"/>
        <v>2023</v>
      </c>
      <c r="P70">
        <f t="shared" si="14"/>
        <v>1</v>
      </c>
    </row>
    <row r="71" spans="1:16" hidden="1" x14ac:dyDescent="0.3">
      <c r="A71" s="5" t="s">
        <v>205</v>
      </c>
      <c r="B71" s="5" t="s">
        <v>5</v>
      </c>
      <c r="C71" s="5" t="s">
        <v>228</v>
      </c>
      <c r="D71" s="5" t="s">
        <v>6</v>
      </c>
      <c r="E71" s="5" t="s">
        <v>220</v>
      </c>
      <c r="F71" s="5" t="s">
        <v>222</v>
      </c>
      <c r="G71" s="6">
        <v>44955</v>
      </c>
      <c r="H71" s="8">
        <v>698.1</v>
      </c>
      <c r="I71" s="7">
        <v>4</v>
      </c>
      <c r="J71" s="8">
        <v>2792.4</v>
      </c>
      <c r="K71" s="8">
        <f t="shared" si="10"/>
        <v>418.86</v>
      </c>
      <c r="L71" s="8">
        <v>2932.02</v>
      </c>
      <c r="M71" s="9">
        <f t="shared" si="11"/>
        <v>139.61999999999989</v>
      </c>
      <c r="N71" s="10">
        <f t="shared" si="12"/>
        <v>4.7619047619047471E-2</v>
      </c>
      <c r="O71">
        <f t="shared" si="13"/>
        <v>2023</v>
      </c>
      <c r="P71">
        <f t="shared" si="14"/>
        <v>2</v>
      </c>
    </row>
    <row r="72" spans="1:16" x14ac:dyDescent="0.3">
      <c r="A72" s="5" t="s">
        <v>184</v>
      </c>
      <c r="B72" s="5" t="s">
        <v>3</v>
      </c>
      <c r="C72" s="5" t="s">
        <v>227</v>
      </c>
      <c r="D72" s="5" t="s">
        <v>6</v>
      </c>
      <c r="E72" s="5" t="s">
        <v>220</v>
      </c>
      <c r="F72" s="5" t="s">
        <v>226</v>
      </c>
      <c r="G72" s="6">
        <v>45204</v>
      </c>
      <c r="H72" s="8">
        <v>512.79999999999995</v>
      </c>
      <c r="I72" s="7">
        <v>6</v>
      </c>
      <c r="J72" s="8">
        <v>3076.8</v>
      </c>
      <c r="K72" s="8">
        <f t="shared" si="10"/>
        <v>461.52</v>
      </c>
      <c r="L72" s="8">
        <v>3230.6400000000003</v>
      </c>
      <c r="M72" s="25">
        <f t="shared" si="11"/>
        <v>153.84000000000015</v>
      </c>
      <c r="N72" s="26">
        <f t="shared" si="12"/>
        <v>4.7619047619047471E-2</v>
      </c>
      <c r="O72" s="27">
        <f t="shared" si="13"/>
        <v>2023</v>
      </c>
      <c r="P72" s="27">
        <f t="shared" si="14"/>
        <v>2</v>
      </c>
    </row>
    <row r="73" spans="1:16" hidden="1" x14ac:dyDescent="0.3">
      <c r="A73" s="5" t="s">
        <v>80</v>
      </c>
      <c r="B73" s="5" t="s">
        <v>7</v>
      </c>
      <c r="C73" s="5" t="s">
        <v>229</v>
      </c>
      <c r="D73" s="5" t="s">
        <v>4</v>
      </c>
      <c r="E73" s="5" t="s">
        <v>219</v>
      </c>
      <c r="F73" s="5" t="s">
        <v>221</v>
      </c>
      <c r="G73" s="6">
        <v>45127</v>
      </c>
      <c r="H73" s="8">
        <v>757.4</v>
      </c>
      <c r="I73" s="7">
        <v>4</v>
      </c>
      <c r="J73" s="8">
        <v>3029.6</v>
      </c>
      <c r="K73" s="8">
        <f t="shared" si="10"/>
        <v>454.44</v>
      </c>
      <c r="L73" s="8">
        <v>3181.08</v>
      </c>
      <c r="M73" s="9">
        <f t="shared" si="11"/>
        <v>151.48000000000002</v>
      </c>
      <c r="N73" s="10">
        <f t="shared" si="12"/>
        <v>4.7619047619047471E-2</v>
      </c>
      <c r="O73">
        <f t="shared" si="13"/>
        <v>2023</v>
      </c>
      <c r="P73">
        <f t="shared" si="14"/>
        <v>2</v>
      </c>
    </row>
    <row r="74" spans="1:16" x14ac:dyDescent="0.3">
      <c r="A74" s="5" t="s">
        <v>191</v>
      </c>
      <c r="B74" s="5" t="s">
        <v>3</v>
      </c>
      <c r="C74" s="5" t="s">
        <v>227</v>
      </c>
      <c r="D74" s="5" t="s">
        <v>4</v>
      </c>
      <c r="E74" s="5" t="s">
        <v>220</v>
      </c>
      <c r="F74" s="5" t="s">
        <v>222</v>
      </c>
      <c r="G74" s="6">
        <v>45149</v>
      </c>
      <c r="H74" s="8">
        <v>338.40000000000003</v>
      </c>
      <c r="I74" s="7">
        <v>9</v>
      </c>
      <c r="J74" s="8">
        <v>3045.6</v>
      </c>
      <c r="K74" s="8">
        <f t="shared" si="10"/>
        <v>456.84</v>
      </c>
      <c r="L74" s="8">
        <v>3197.88</v>
      </c>
      <c r="M74" s="25">
        <f t="shared" si="11"/>
        <v>152.2800000000002</v>
      </c>
      <c r="N74" s="26">
        <f t="shared" si="12"/>
        <v>4.7619047619047471E-2</v>
      </c>
      <c r="O74" s="27">
        <f t="shared" si="13"/>
        <v>2023</v>
      </c>
      <c r="P74" s="27">
        <f t="shared" si="14"/>
        <v>1</v>
      </c>
    </row>
    <row r="75" spans="1:16" hidden="1" x14ac:dyDescent="0.3">
      <c r="A75" s="5" t="s">
        <v>124</v>
      </c>
      <c r="B75" s="5" t="s">
        <v>5</v>
      </c>
      <c r="C75" s="5" t="s">
        <v>228</v>
      </c>
      <c r="D75" s="5" t="s">
        <v>6</v>
      </c>
      <c r="E75" s="5" t="s">
        <v>220</v>
      </c>
      <c r="F75" s="5" t="s">
        <v>226</v>
      </c>
      <c r="G75" s="6">
        <v>45032</v>
      </c>
      <c r="H75" s="8">
        <v>339.79999999999995</v>
      </c>
      <c r="I75" s="7">
        <v>9</v>
      </c>
      <c r="J75" s="8">
        <v>3058.2</v>
      </c>
      <c r="K75" s="8">
        <f t="shared" si="10"/>
        <v>458.72999999999996</v>
      </c>
      <c r="L75" s="8">
        <v>3211.1099999999997</v>
      </c>
      <c r="M75" s="9">
        <f t="shared" si="11"/>
        <v>152.90999999999985</v>
      </c>
      <c r="N75" s="10">
        <f t="shared" si="12"/>
        <v>4.7619047619047471E-2</v>
      </c>
      <c r="O75">
        <f t="shared" si="13"/>
        <v>2023</v>
      </c>
      <c r="P75">
        <f t="shared" si="14"/>
        <v>1</v>
      </c>
    </row>
    <row r="76" spans="1:16" x14ac:dyDescent="0.3">
      <c r="A76" s="5" t="s">
        <v>162</v>
      </c>
      <c r="B76" s="5" t="s">
        <v>3</v>
      </c>
      <c r="C76" s="5" t="s">
        <v>227</v>
      </c>
      <c r="D76" s="5" t="s">
        <v>4</v>
      </c>
      <c r="E76" s="5" t="s">
        <v>219</v>
      </c>
      <c r="F76" s="5" t="s">
        <v>225</v>
      </c>
      <c r="G76" s="6">
        <v>45100</v>
      </c>
      <c r="H76" s="8">
        <v>301.39999999999998</v>
      </c>
      <c r="I76" s="7">
        <v>10</v>
      </c>
      <c r="J76" s="8">
        <v>3014</v>
      </c>
      <c r="K76" s="8">
        <f t="shared" si="10"/>
        <v>452.09999999999997</v>
      </c>
      <c r="L76" s="8">
        <v>3164.7000000000003</v>
      </c>
      <c r="M76" s="25">
        <f t="shared" si="11"/>
        <v>150.70000000000027</v>
      </c>
      <c r="N76" s="26">
        <f t="shared" si="12"/>
        <v>4.7619047619047471E-2</v>
      </c>
      <c r="O76" s="27">
        <f t="shared" si="13"/>
        <v>2023</v>
      </c>
      <c r="P76" s="27">
        <f t="shared" si="14"/>
        <v>1</v>
      </c>
    </row>
    <row r="77" spans="1:16" hidden="1" x14ac:dyDescent="0.3">
      <c r="A77" s="5" t="s">
        <v>197</v>
      </c>
      <c r="B77" s="5" t="s">
        <v>5</v>
      </c>
      <c r="C77" s="5" t="s">
        <v>228</v>
      </c>
      <c r="D77" s="5" t="s">
        <v>4</v>
      </c>
      <c r="E77" s="5" t="s">
        <v>220</v>
      </c>
      <c r="F77" s="5" t="s">
        <v>226</v>
      </c>
      <c r="G77" s="6">
        <v>45160</v>
      </c>
      <c r="H77" s="8">
        <v>384.7</v>
      </c>
      <c r="I77" s="7">
        <v>8</v>
      </c>
      <c r="J77" s="8">
        <v>3077.6</v>
      </c>
      <c r="K77" s="8">
        <f t="shared" si="10"/>
        <v>461.64</v>
      </c>
      <c r="L77" s="8">
        <v>3231.4800000000005</v>
      </c>
      <c r="M77" s="9">
        <f t="shared" si="11"/>
        <v>153.88000000000056</v>
      </c>
      <c r="N77" s="10">
        <f t="shared" si="12"/>
        <v>4.7619047619047471E-2</v>
      </c>
      <c r="O77">
        <f t="shared" si="13"/>
        <v>2023</v>
      </c>
      <c r="P77">
        <f t="shared" si="14"/>
        <v>1</v>
      </c>
    </row>
    <row r="78" spans="1:16" x14ac:dyDescent="0.3">
      <c r="A78" s="5" t="s">
        <v>40</v>
      </c>
      <c r="B78" s="5" t="s">
        <v>3</v>
      </c>
      <c r="C78" s="5" t="s">
        <v>227</v>
      </c>
      <c r="D78" s="5" t="s">
        <v>4</v>
      </c>
      <c r="E78" s="5" t="s">
        <v>219</v>
      </c>
      <c r="F78" s="5" t="s">
        <v>224</v>
      </c>
      <c r="G78" s="6">
        <v>45266</v>
      </c>
      <c r="H78" s="8">
        <v>886.3</v>
      </c>
      <c r="I78" s="7">
        <v>3</v>
      </c>
      <c r="J78" s="8">
        <v>2658.8999999999996</v>
      </c>
      <c r="K78" s="8">
        <f t="shared" si="10"/>
        <v>398.83499999999992</v>
      </c>
      <c r="L78" s="8">
        <v>2791.8450000000003</v>
      </c>
      <c r="M78" s="25">
        <f t="shared" si="11"/>
        <v>132.94500000000062</v>
      </c>
      <c r="N78" s="26">
        <f t="shared" si="12"/>
        <v>4.7619047619047471E-2</v>
      </c>
      <c r="O78" s="27">
        <f t="shared" si="13"/>
        <v>2023</v>
      </c>
      <c r="P78" s="27">
        <f t="shared" si="14"/>
        <v>2</v>
      </c>
    </row>
    <row r="79" spans="1:16" hidden="1" x14ac:dyDescent="0.3">
      <c r="A79" s="5" t="s">
        <v>189</v>
      </c>
      <c r="B79" s="5" t="s">
        <v>7</v>
      </c>
      <c r="C79" s="5" t="s">
        <v>229</v>
      </c>
      <c r="D79" s="5" t="s">
        <v>4</v>
      </c>
      <c r="E79" s="5" t="s">
        <v>219</v>
      </c>
      <c r="F79" s="5" t="s">
        <v>223</v>
      </c>
      <c r="G79" s="6">
        <v>45066</v>
      </c>
      <c r="H79" s="8">
        <v>528.9</v>
      </c>
      <c r="I79" s="7">
        <v>6</v>
      </c>
      <c r="J79" s="8">
        <v>3173.3999999999996</v>
      </c>
      <c r="K79" s="8">
        <f t="shared" si="10"/>
        <v>476.00999999999993</v>
      </c>
      <c r="L79" s="8">
        <v>3332.0699999999997</v>
      </c>
      <c r="M79" s="9">
        <f t="shared" si="11"/>
        <v>158.67000000000007</v>
      </c>
      <c r="N79" s="10">
        <f t="shared" si="12"/>
        <v>4.7619047619047471E-2</v>
      </c>
      <c r="O79">
        <f t="shared" si="13"/>
        <v>2023</v>
      </c>
      <c r="P79">
        <f t="shared" si="14"/>
        <v>2</v>
      </c>
    </row>
    <row r="80" spans="1:16" x14ac:dyDescent="0.3">
      <c r="A80" s="5" t="s">
        <v>28</v>
      </c>
      <c r="B80" s="5" t="s">
        <v>3</v>
      </c>
      <c r="C80" s="5" t="s">
        <v>227</v>
      </c>
      <c r="D80" s="5" t="s">
        <v>6</v>
      </c>
      <c r="E80" s="5" t="s">
        <v>220</v>
      </c>
      <c r="F80" s="5" t="s">
        <v>223</v>
      </c>
      <c r="G80" s="6">
        <v>45152</v>
      </c>
      <c r="H80" s="8">
        <v>469.5</v>
      </c>
      <c r="I80" s="7">
        <v>5</v>
      </c>
      <c r="J80" s="8">
        <v>2347.5</v>
      </c>
      <c r="K80" s="8">
        <f t="shared" ref="K80:K111" si="15">J80*$L$4</f>
        <v>352.125</v>
      </c>
      <c r="L80" s="8">
        <v>2464.875</v>
      </c>
      <c r="M80" s="25">
        <f t="shared" ref="M80:M111" si="16">L80-J80</f>
        <v>117.375</v>
      </c>
      <c r="N80" s="26">
        <f t="shared" ref="N80:N111" si="17">($L$8-$J$8)/$L$8</f>
        <v>4.7619047619047471E-2</v>
      </c>
      <c r="O80" s="27">
        <f t="shared" ref="O80:O111" si="18">YEAR(G80)</f>
        <v>2023</v>
      </c>
      <c r="P80" s="27">
        <f t="shared" ref="P80:P111" si="19">IF(H80&lt;400,1,IF(H80&lt;900,2,3))</f>
        <v>2</v>
      </c>
    </row>
    <row r="81" spans="1:16" x14ac:dyDescent="0.3">
      <c r="A81" s="5" t="s">
        <v>43</v>
      </c>
      <c r="B81" s="5" t="s">
        <v>3</v>
      </c>
      <c r="C81" s="5" t="s">
        <v>227</v>
      </c>
      <c r="D81" s="5" t="s">
        <v>6</v>
      </c>
      <c r="E81" s="5" t="s">
        <v>219</v>
      </c>
      <c r="F81" s="5" t="s">
        <v>225</v>
      </c>
      <c r="G81" s="6">
        <v>45129</v>
      </c>
      <c r="H81" s="8">
        <v>876.7</v>
      </c>
      <c r="I81" s="7">
        <v>2</v>
      </c>
      <c r="J81" s="8">
        <v>1753.4</v>
      </c>
      <c r="K81" s="8">
        <f t="shared" si="15"/>
        <v>263.01</v>
      </c>
      <c r="L81" s="8">
        <v>1841.07</v>
      </c>
      <c r="M81" s="25">
        <f t="shared" si="16"/>
        <v>87.669999999999845</v>
      </c>
      <c r="N81" s="26">
        <f t="shared" si="17"/>
        <v>4.7619047619047471E-2</v>
      </c>
      <c r="O81" s="27">
        <f t="shared" si="18"/>
        <v>2023</v>
      </c>
      <c r="P81" s="27">
        <f t="shared" si="19"/>
        <v>2</v>
      </c>
    </row>
    <row r="82" spans="1:16" hidden="1" x14ac:dyDescent="0.3">
      <c r="A82" s="5" t="s">
        <v>215</v>
      </c>
      <c r="B82" s="5" t="s">
        <v>5</v>
      </c>
      <c r="C82" s="5" t="s">
        <v>228</v>
      </c>
      <c r="D82" s="5" t="s">
        <v>4</v>
      </c>
      <c r="E82" s="5" t="s">
        <v>220</v>
      </c>
      <c r="F82" s="5" t="s">
        <v>226</v>
      </c>
      <c r="G82" s="6">
        <v>44969</v>
      </c>
      <c r="H82" s="8">
        <v>713.9</v>
      </c>
      <c r="I82" s="7">
        <v>5</v>
      </c>
      <c r="J82" s="8">
        <v>3569.5</v>
      </c>
      <c r="K82" s="8">
        <f t="shared" si="15"/>
        <v>535.42499999999995</v>
      </c>
      <c r="L82" s="8">
        <v>3747.9750000000004</v>
      </c>
      <c r="M82" s="9">
        <f t="shared" si="16"/>
        <v>178.47500000000036</v>
      </c>
      <c r="N82" s="10">
        <f t="shared" si="17"/>
        <v>4.7619047619047471E-2</v>
      </c>
      <c r="O82">
        <f t="shared" si="18"/>
        <v>2023</v>
      </c>
      <c r="P82">
        <f t="shared" si="19"/>
        <v>2</v>
      </c>
    </row>
    <row r="83" spans="1:16" hidden="1" x14ac:dyDescent="0.3">
      <c r="A83" s="5" t="s">
        <v>102</v>
      </c>
      <c r="B83" s="5" t="s">
        <v>5</v>
      </c>
      <c r="C83" s="5" t="s">
        <v>228</v>
      </c>
      <c r="D83" s="5" t="s">
        <v>6</v>
      </c>
      <c r="E83" s="5" t="s">
        <v>219</v>
      </c>
      <c r="F83" s="5" t="s">
        <v>225</v>
      </c>
      <c r="G83" s="6">
        <v>45033</v>
      </c>
      <c r="H83" s="8">
        <v>765.19999999999993</v>
      </c>
      <c r="I83" s="7">
        <v>5</v>
      </c>
      <c r="J83" s="8">
        <v>3826</v>
      </c>
      <c r="K83" s="8">
        <f t="shared" si="15"/>
        <v>573.9</v>
      </c>
      <c r="L83" s="8">
        <v>4017.3</v>
      </c>
      <c r="M83" s="9">
        <f t="shared" si="16"/>
        <v>191.30000000000018</v>
      </c>
      <c r="N83" s="10">
        <f t="shared" si="17"/>
        <v>4.7619047619047471E-2</v>
      </c>
      <c r="O83">
        <f t="shared" si="18"/>
        <v>2023</v>
      </c>
      <c r="P83">
        <f t="shared" si="19"/>
        <v>2</v>
      </c>
    </row>
    <row r="84" spans="1:16" hidden="1" x14ac:dyDescent="0.3">
      <c r="A84" s="5" t="s">
        <v>180</v>
      </c>
      <c r="B84" s="5" t="s">
        <v>7</v>
      </c>
      <c r="C84" s="5" t="s">
        <v>229</v>
      </c>
      <c r="D84" s="5" t="s">
        <v>6</v>
      </c>
      <c r="E84" s="5" t="s">
        <v>220</v>
      </c>
      <c r="F84" s="5" t="s">
        <v>226</v>
      </c>
      <c r="G84" s="6">
        <v>44931</v>
      </c>
      <c r="H84" s="8">
        <v>399</v>
      </c>
      <c r="I84" s="7">
        <v>10</v>
      </c>
      <c r="J84" s="8">
        <v>3990</v>
      </c>
      <c r="K84" s="8">
        <f t="shared" si="15"/>
        <v>598.5</v>
      </c>
      <c r="L84" s="8">
        <v>4189.5</v>
      </c>
      <c r="M84" s="9">
        <f t="shared" si="16"/>
        <v>199.5</v>
      </c>
      <c r="N84" s="10">
        <f t="shared" si="17"/>
        <v>4.7619047619047471E-2</v>
      </c>
      <c r="O84">
        <f t="shared" si="18"/>
        <v>2023</v>
      </c>
      <c r="P84">
        <f t="shared" si="19"/>
        <v>1</v>
      </c>
    </row>
    <row r="85" spans="1:16" hidden="1" x14ac:dyDescent="0.3">
      <c r="A85" s="5" t="s">
        <v>187</v>
      </c>
      <c r="B85" s="5" t="s">
        <v>7</v>
      </c>
      <c r="C85" s="5" t="s">
        <v>229</v>
      </c>
      <c r="D85" s="5" t="s">
        <v>4</v>
      </c>
      <c r="E85" s="5" t="s">
        <v>220</v>
      </c>
      <c r="F85" s="5" t="s">
        <v>226</v>
      </c>
      <c r="G85" s="6">
        <v>44980</v>
      </c>
      <c r="H85" s="8">
        <v>800.5</v>
      </c>
      <c r="I85" s="7">
        <v>5</v>
      </c>
      <c r="J85" s="8">
        <v>4002.5</v>
      </c>
      <c r="K85" s="8">
        <f t="shared" si="15"/>
        <v>600.375</v>
      </c>
      <c r="L85" s="8">
        <v>4202.625</v>
      </c>
      <c r="M85" s="9">
        <f t="shared" si="16"/>
        <v>200.125</v>
      </c>
      <c r="N85" s="10">
        <f t="shared" si="17"/>
        <v>4.7619047619047471E-2</v>
      </c>
      <c r="O85">
        <f t="shared" si="18"/>
        <v>2023</v>
      </c>
      <c r="P85">
        <f t="shared" si="19"/>
        <v>2</v>
      </c>
    </row>
    <row r="86" spans="1:16" hidden="1" x14ac:dyDescent="0.3">
      <c r="A86" s="5" t="s">
        <v>36</v>
      </c>
      <c r="B86" s="5" t="s">
        <v>5</v>
      </c>
      <c r="C86" s="5" t="s">
        <v>228</v>
      </c>
      <c r="D86" s="5" t="s">
        <v>4</v>
      </c>
      <c r="E86" s="5" t="s">
        <v>219</v>
      </c>
      <c r="F86" s="5" t="s">
        <v>223</v>
      </c>
      <c r="G86" s="6">
        <v>45133</v>
      </c>
      <c r="H86" s="8">
        <v>860.40000000000009</v>
      </c>
      <c r="I86" s="7">
        <v>5</v>
      </c>
      <c r="J86" s="8">
        <v>4302</v>
      </c>
      <c r="K86" s="8">
        <f t="shared" si="15"/>
        <v>645.29999999999995</v>
      </c>
      <c r="L86" s="8">
        <v>4517.0999999999995</v>
      </c>
      <c r="M86" s="9">
        <f t="shared" si="16"/>
        <v>215.09999999999945</v>
      </c>
      <c r="N86" s="10">
        <f t="shared" si="17"/>
        <v>4.7619047619047471E-2</v>
      </c>
      <c r="O86">
        <f t="shared" si="18"/>
        <v>2023</v>
      </c>
      <c r="P86">
        <f t="shared" si="19"/>
        <v>2</v>
      </c>
    </row>
    <row r="87" spans="1:16" x14ac:dyDescent="0.3">
      <c r="A87" s="5" t="s">
        <v>142</v>
      </c>
      <c r="B87" s="5" t="s">
        <v>3</v>
      </c>
      <c r="C87" s="5" t="s">
        <v>227</v>
      </c>
      <c r="D87" s="5" t="s">
        <v>6</v>
      </c>
      <c r="E87" s="5" t="s">
        <v>219</v>
      </c>
      <c r="F87" s="5" t="s">
        <v>224</v>
      </c>
      <c r="G87" s="6">
        <v>45110</v>
      </c>
      <c r="H87" s="8">
        <v>322.5</v>
      </c>
      <c r="I87" s="7">
        <v>5</v>
      </c>
      <c r="J87" s="8">
        <v>1612.5</v>
      </c>
      <c r="K87" s="8">
        <f t="shared" si="15"/>
        <v>241.875</v>
      </c>
      <c r="L87" s="8">
        <v>1693.125</v>
      </c>
      <c r="M87" s="25">
        <f t="shared" si="16"/>
        <v>80.625</v>
      </c>
      <c r="N87" s="26">
        <f t="shared" si="17"/>
        <v>4.7619047619047471E-2</v>
      </c>
      <c r="O87" s="27">
        <f t="shared" si="18"/>
        <v>2023</v>
      </c>
      <c r="P87" s="27">
        <f t="shared" si="19"/>
        <v>1</v>
      </c>
    </row>
    <row r="88" spans="1:16" hidden="1" x14ac:dyDescent="0.3">
      <c r="A88" s="5" t="s">
        <v>92</v>
      </c>
      <c r="B88" s="5" t="s">
        <v>5</v>
      </c>
      <c r="C88" s="5" t="s">
        <v>228</v>
      </c>
      <c r="D88" s="5" t="s">
        <v>4</v>
      </c>
      <c r="E88" s="5" t="s">
        <v>219</v>
      </c>
      <c r="F88" s="5" t="s">
        <v>225</v>
      </c>
      <c r="G88" s="6">
        <v>44975</v>
      </c>
      <c r="H88" s="8">
        <v>490.4</v>
      </c>
      <c r="I88" s="7">
        <v>9</v>
      </c>
      <c r="J88" s="8">
        <v>4413.6000000000004</v>
      </c>
      <c r="K88" s="8">
        <f t="shared" si="15"/>
        <v>662.04000000000008</v>
      </c>
      <c r="L88" s="8">
        <v>4634.28</v>
      </c>
      <c r="M88" s="9">
        <f t="shared" si="16"/>
        <v>220.67999999999938</v>
      </c>
      <c r="N88" s="10">
        <f t="shared" si="17"/>
        <v>4.7619047619047471E-2</v>
      </c>
      <c r="O88">
        <f t="shared" si="18"/>
        <v>2023</v>
      </c>
      <c r="P88">
        <f t="shared" si="19"/>
        <v>2</v>
      </c>
    </row>
    <row r="89" spans="1:16" hidden="1" x14ac:dyDescent="0.3">
      <c r="A89" s="5" t="s">
        <v>44</v>
      </c>
      <c r="B89" s="5" t="s">
        <v>7</v>
      </c>
      <c r="C89" s="5" t="s">
        <v>229</v>
      </c>
      <c r="D89" s="5" t="s">
        <v>6</v>
      </c>
      <c r="E89" s="5" t="s">
        <v>220</v>
      </c>
      <c r="F89" s="5" t="s">
        <v>226</v>
      </c>
      <c r="G89" s="6">
        <v>45262</v>
      </c>
      <c r="H89" s="8">
        <v>883.6</v>
      </c>
      <c r="I89" s="7">
        <v>5</v>
      </c>
      <c r="J89" s="8">
        <v>4418</v>
      </c>
      <c r="K89" s="8">
        <f t="shared" si="15"/>
        <v>662.69999999999993</v>
      </c>
      <c r="L89" s="8">
        <v>4638.8999999999996</v>
      </c>
      <c r="M89" s="9">
        <f t="shared" si="16"/>
        <v>220.89999999999964</v>
      </c>
      <c r="N89" s="10">
        <f t="shared" si="17"/>
        <v>4.7619047619047471E-2</v>
      </c>
      <c r="O89">
        <f t="shared" si="18"/>
        <v>2023</v>
      </c>
      <c r="P89">
        <f t="shared" si="19"/>
        <v>2</v>
      </c>
    </row>
    <row r="90" spans="1:16" x14ac:dyDescent="0.3">
      <c r="A90" s="5" t="s">
        <v>81</v>
      </c>
      <c r="B90" s="5" t="s">
        <v>3</v>
      </c>
      <c r="C90" s="5" t="s">
        <v>227</v>
      </c>
      <c r="D90" s="5" t="s">
        <v>4</v>
      </c>
      <c r="E90" s="5" t="s">
        <v>219</v>
      </c>
      <c r="F90" s="5" t="s">
        <v>221</v>
      </c>
      <c r="G90" s="6">
        <v>44995</v>
      </c>
      <c r="H90" s="8">
        <v>158.69999999999999</v>
      </c>
      <c r="I90" s="7">
        <v>10</v>
      </c>
      <c r="J90" s="8">
        <v>1587</v>
      </c>
      <c r="K90" s="8">
        <f t="shared" si="15"/>
        <v>238.04999999999998</v>
      </c>
      <c r="L90" s="8">
        <v>1666.35</v>
      </c>
      <c r="M90" s="25">
        <f t="shared" si="16"/>
        <v>79.349999999999909</v>
      </c>
      <c r="N90" s="26">
        <f t="shared" si="17"/>
        <v>4.7619047619047471E-2</v>
      </c>
      <c r="O90" s="27">
        <f t="shared" si="18"/>
        <v>2023</v>
      </c>
      <c r="P90" s="27">
        <f t="shared" si="19"/>
        <v>1</v>
      </c>
    </row>
    <row r="91" spans="1:16" hidden="1" x14ac:dyDescent="0.3">
      <c r="A91" s="5" t="s">
        <v>107</v>
      </c>
      <c r="B91" s="5" t="s">
        <v>5</v>
      </c>
      <c r="C91" s="5" t="s">
        <v>228</v>
      </c>
      <c r="D91" s="5" t="s">
        <v>6</v>
      </c>
      <c r="E91" s="5" t="s">
        <v>219</v>
      </c>
      <c r="F91" s="5" t="s">
        <v>224</v>
      </c>
      <c r="G91" s="6">
        <v>45243</v>
      </c>
      <c r="H91" s="8">
        <v>448.6</v>
      </c>
      <c r="I91" s="7">
        <v>10</v>
      </c>
      <c r="J91" s="8">
        <v>4486</v>
      </c>
      <c r="K91" s="8">
        <f t="shared" si="15"/>
        <v>672.9</v>
      </c>
      <c r="L91" s="8">
        <v>4710.2999999999993</v>
      </c>
      <c r="M91" s="9">
        <f t="shared" si="16"/>
        <v>224.29999999999927</v>
      </c>
      <c r="N91" s="10">
        <f t="shared" si="17"/>
        <v>4.7619047619047471E-2</v>
      </c>
      <c r="O91">
        <f t="shared" si="18"/>
        <v>2023</v>
      </c>
      <c r="P91">
        <f t="shared" si="19"/>
        <v>2</v>
      </c>
    </row>
    <row r="92" spans="1:16" hidden="1" x14ac:dyDescent="0.3">
      <c r="A92" s="5" t="s">
        <v>196</v>
      </c>
      <c r="B92" s="5" t="s">
        <v>5</v>
      </c>
      <c r="C92" s="5" t="s">
        <v>228</v>
      </c>
      <c r="D92" s="5" t="s">
        <v>6</v>
      </c>
      <c r="E92" s="5" t="s">
        <v>219</v>
      </c>
      <c r="F92" s="5" t="s">
        <v>225</v>
      </c>
      <c r="G92" s="6">
        <v>44950</v>
      </c>
      <c r="H92" s="8">
        <v>642.6</v>
      </c>
      <c r="I92" s="7">
        <v>7</v>
      </c>
      <c r="J92" s="8">
        <v>4498.2</v>
      </c>
      <c r="K92" s="8">
        <f t="shared" si="15"/>
        <v>674.7299999999999</v>
      </c>
      <c r="L92" s="8">
        <v>4723.1099999999997</v>
      </c>
      <c r="M92" s="9">
        <f t="shared" si="16"/>
        <v>224.90999999999985</v>
      </c>
      <c r="N92" s="10">
        <f t="shared" si="17"/>
        <v>4.7619047619047471E-2</v>
      </c>
      <c r="O92">
        <f t="shared" si="18"/>
        <v>2023</v>
      </c>
      <c r="P92">
        <f t="shared" si="19"/>
        <v>2</v>
      </c>
    </row>
    <row r="93" spans="1:16" x14ac:dyDescent="0.3">
      <c r="A93" s="5" t="s">
        <v>108</v>
      </c>
      <c r="B93" s="5" t="s">
        <v>3</v>
      </c>
      <c r="C93" s="5" t="s">
        <v>227</v>
      </c>
      <c r="D93" s="5" t="s">
        <v>4</v>
      </c>
      <c r="E93" s="5" t="s">
        <v>219</v>
      </c>
      <c r="F93" s="5" t="s">
        <v>224</v>
      </c>
      <c r="G93" s="6">
        <v>44969</v>
      </c>
      <c r="H93" s="8">
        <v>219.8</v>
      </c>
      <c r="I93" s="7">
        <v>7</v>
      </c>
      <c r="J93" s="8">
        <v>1538.6000000000001</v>
      </c>
      <c r="K93" s="8">
        <f t="shared" si="15"/>
        <v>230.79000000000002</v>
      </c>
      <c r="L93" s="8">
        <v>1615.53</v>
      </c>
      <c r="M93" s="25">
        <f t="shared" si="16"/>
        <v>76.929999999999836</v>
      </c>
      <c r="N93" s="26">
        <f t="shared" si="17"/>
        <v>4.7619047619047471E-2</v>
      </c>
      <c r="O93" s="27">
        <f t="shared" si="18"/>
        <v>2023</v>
      </c>
      <c r="P93" s="27">
        <f t="shared" si="19"/>
        <v>1</v>
      </c>
    </row>
    <row r="94" spans="1:16" x14ac:dyDescent="0.3">
      <c r="A94" s="5" t="s">
        <v>152</v>
      </c>
      <c r="B94" s="5" t="s">
        <v>3</v>
      </c>
      <c r="C94" s="5" t="s">
        <v>227</v>
      </c>
      <c r="D94" s="5" t="s">
        <v>6</v>
      </c>
      <c r="E94" s="5" t="s">
        <v>219</v>
      </c>
      <c r="F94" s="5" t="s">
        <v>223</v>
      </c>
      <c r="G94" s="6">
        <v>45178</v>
      </c>
      <c r="H94" s="8">
        <v>263.09999999999997</v>
      </c>
      <c r="I94" s="7">
        <v>5</v>
      </c>
      <c r="J94" s="8">
        <v>1315.5</v>
      </c>
      <c r="K94" s="8">
        <f t="shared" si="15"/>
        <v>197.32499999999999</v>
      </c>
      <c r="L94" s="8">
        <v>1381.2750000000001</v>
      </c>
      <c r="M94" s="25">
        <f t="shared" si="16"/>
        <v>65.775000000000091</v>
      </c>
      <c r="N94" s="26">
        <f t="shared" si="17"/>
        <v>4.7619047619047471E-2</v>
      </c>
      <c r="O94" s="27">
        <f t="shared" si="18"/>
        <v>2023</v>
      </c>
      <c r="P94" s="27">
        <f t="shared" si="19"/>
        <v>1</v>
      </c>
    </row>
    <row r="95" spans="1:16" x14ac:dyDescent="0.3">
      <c r="A95" s="5" t="s">
        <v>134</v>
      </c>
      <c r="B95" s="5" t="s">
        <v>3</v>
      </c>
      <c r="C95" s="5" t="s">
        <v>227</v>
      </c>
      <c r="D95" s="5" t="s">
        <v>6</v>
      </c>
      <c r="E95" s="5" t="s">
        <v>220</v>
      </c>
      <c r="F95" s="5" t="s">
        <v>226</v>
      </c>
      <c r="G95" s="6">
        <v>45000</v>
      </c>
      <c r="H95" s="8">
        <v>109.60000000000001</v>
      </c>
      <c r="I95" s="7">
        <v>10</v>
      </c>
      <c r="J95" s="8">
        <v>1096</v>
      </c>
      <c r="K95" s="8">
        <f t="shared" si="15"/>
        <v>164.4</v>
      </c>
      <c r="L95" s="8">
        <v>1150.8</v>
      </c>
      <c r="M95" s="25">
        <f t="shared" si="16"/>
        <v>54.799999999999955</v>
      </c>
      <c r="N95" s="26">
        <f t="shared" si="17"/>
        <v>4.7619047619047471E-2</v>
      </c>
      <c r="O95" s="27">
        <f t="shared" si="18"/>
        <v>2023</v>
      </c>
      <c r="P95" s="27">
        <f t="shared" si="19"/>
        <v>1</v>
      </c>
    </row>
    <row r="96" spans="1:16" x14ac:dyDescent="0.3">
      <c r="A96" s="5" t="s">
        <v>111</v>
      </c>
      <c r="B96" s="5" t="s">
        <v>3</v>
      </c>
      <c r="C96" s="5" t="s">
        <v>227</v>
      </c>
      <c r="D96" s="5" t="s">
        <v>6</v>
      </c>
      <c r="E96" s="5" t="s">
        <v>219</v>
      </c>
      <c r="F96" s="5" t="s">
        <v>223</v>
      </c>
      <c r="G96" s="6">
        <v>45020</v>
      </c>
      <c r="H96" s="8">
        <v>971.59999999999991</v>
      </c>
      <c r="I96" s="7">
        <v>1</v>
      </c>
      <c r="J96" s="8">
        <v>971.59999999999991</v>
      </c>
      <c r="K96" s="8">
        <f t="shared" si="15"/>
        <v>145.73999999999998</v>
      </c>
      <c r="L96" s="8">
        <v>1020.1800000000001</v>
      </c>
      <c r="M96" s="25">
        <f t="shared" si="16"/>
        <v>48.580000000000155</v>
      </c>
      <c r="N96" s="26">
        <f t="shared" si="17"/>
        <v>4.7619047619047471E-2</v>
      </c>
      <c r="O96" s="27">
        <f t="shared" si="18"/>
        <v>2023</v>
      </c>
      <c r="P96" s="27">
        <f t="shared" si="19"/>
        <v>3</v>
      </c>
    </row>
    <row r="97" spans="1:16" hidden="1" x14ac:dyDescent="0.3">
      <c r="A97" s="5" t="s">
        <v>150</v>
      </c>
      <c r="B97" s="5" t="s">
        <v>5</v>
      </c>
      <c r="C97" s="5" t="s">
        <v>228</v>
      </c>
      <c r="D97" s="5" t="s">
        <v>6</v>
      </c>
      <c r="E97" s="5" t="s">
        <v>220</v>
      </c>
      <c r="F97" s="5" t="s">
        <v>221</v>
      </c>
      <c r="G97" s="6">
        <v>45139</v>
      </c>
      <c r="H97" s="8">
        <v>813</v>
      </c>
      <c r="I97" s="7">
        <v>6</v>
      </c>
      <c r="J97" s="8">
        <v>4878</v>
      </c>
      <c r="K97" s="8">
        <f t="shared" si="15"/>
        <v>731.69999999999993</v>
      </c>
      <c r="L97" s="8">
        <v>5121.9000000000005</v>
      </c>
      <c r="M97" s="9">
        <f t="shared" si="16"/>
        <v>243.90000000000055</v>
      </c>
      <c r="N97" s="10">
        <f t="shared" si="17"/>
        <v>4.7619047619047471E-2</v>
      </c>
      <c r="O97">
        <f t="shared" si="18"/>
        <v>2023</v>
      </c>
      <c r="P97">
        <f t="shared" si="19"/>
        <v>2</v>
      </c>
    </row>
    <row r="98" spans="1:16" hidden="1" x14ac:dyDescent="0.3">
      <c r="A98" s="5" t="s">
        <v>115</v>
      </c>
      <c r="B98" s="5" t="s">
        <v>7</v>
      </c>
      <c r="C98" s="5" t="s">
        <v>229</v>
      </c>
      <c r="D98" s="5" t="s">
        <v>6</v>
      </c>
      <c r="E98" s="5" t="s">
        <v>220</v>
      </c>
      <c r="F98" s="5" t="s">
        <v>222</v>
      </c>
      <c r="G98" s="6">
        <v>44948</v>
      </c>
      <c r="H98" s="8">
        <v>827</v>
      </c>
      <c r="I98" s="7">
        <v>6</v>
      </c>
      <c r="J98" s="8">
        <v>4962</v>
      </c>
      <c r="K98" s="8">
        <f t="shared" si="15"/>
        <v>744.3</v>
      </c>
      <c r="L98" s="8">
        <v>5210.1000000000004</v>
      </c>
      <c r="M98" s="9">
        <f t="shared" si="16"/>
        <v>248.10000000000036</v>
      </c>
      <c r="N98" s="10">
        <f t="shared" si="17"/>
        <v>4.7619047619047471E-2</v>
      </c>
      <c r="O98">
        <f t="shared" si="18"/>
        <v>2023</v>
      </c>
      <c r="P98">
        <f t="shared" si="19"/>
        <v>2</v>
      </c>
    </row>
    <row r="99" spans="1:16" hidden="1" x14ac:dyDescent="0.3">
      <c r="A99" s="5" t="s">
        <v>128</v>
      </c>
      <c r="B99" s="5" t="s">
        <v>7</v>
      </c>
      <c r="C99" s="5" t="s">
        <v>229</v>
      </c>
      <c r="D99" s="5" t="s">
        <v>6</v>
      </c>
      <c r="E99" s="5" t="s">
        <v>219</v>
      </c>
      <c r="F99" s="5" t="s">
        <v>225</v>
      </c>
      <c r="G99" s="6">
        <v>45189</v>
      </c>
      <c r="H99" s="8">
        <v>728.40000000000009</v>
      </c>
      <c r="I99" s="7">
        <v>7</v>
      </c>
      <c r="J99" s="8">
        <v>5098.8</v>
      </c>
      <c r="K99" s="8">
        <f t="shared" si="15"/>
        <v>764.82</v>
      </c>
      <c r="L99" s="8">
        <v>5353.74</v>
      </c>
      <c r="M99" s="9">
        <f t="shared" si="16"/>
        <v>254.9399999999996</v>
      </c>
      <c r="N99" s="10">
        <f t="shared" si="17"/>
        <v>4.7619047619047471E-2</v>
      </c>
      <c r="O99">
        <f t="shared" si="18"/>
        <v>2023</v>
      </c>
      <c r="P99">
        <f t="shared" si="19"/>
        <v>2</v>
      </c>
    </row>
    <row r="100" spans="1:16" hidden="1" x14ac:dyDescent="0.3">
      <c r="A100" s="5" t="s">
        <v>62</v>
      </c>
      <c r="B100" s="5" t="s">
        <v>7</v>
      </c>
      <c r="C100" s="5" t="s">
        <v>229</v>
      </c>
      <c r="D100" s="5" t="s">
        <v>4</v>
      </c>
      <c r="E100" s="5" t="s">
        <v>219</v>
      </c>
      <c r="F100" s="5" t="s">
        <v>221</v>
      </c>
      <c r="G100" s="6">
        <v>45249</v>
      </c>
      <c r="H100" s="8">
        <v>566.9</v>
      </c>
      <c r="I100" s="7">
        <v>9</v>
      </c>
      <c r="J100" s="8">
        <v>5102.0999999999995</v>
      </c>
      <c r="K100" s="8">
        <f t="shared" si="15"/>
        <v>765.31499999999994</v>
      </c>
      <c r="L100" s="8">
        <v>5357.2049999999999</v>
      </c>
      <c r="M100" s="9">
        <f t="shared" si="16"/>
        <v>255.10500000000047</v>
      </c>
      <c r="N100" s="10">
        <f t="shared" si="17"/>
        <v>4.7619047619047471E-2</v>
      </c>
      <c r="O100">
        <f t="shared" si="18"/>
        <v>2023</v>
      </c>
      <c r="P100">
        <f t="shared" si="19"/>
        <v>2</v>
      </c>
    </row>
    <row r="101" spans="1:16" hidden="1" x14ac:dyDescent="0.3">
      <c r="A101" s="5" t="s">
        <v>154</v>
      </c>
      <c r="B101" s="5" t="s">
        <v>7</v>
      </c>
      <c r="C101" s="5" t="s">
        <v>229</v>
      </c>
      <c r="D101" s="5" t="s">
        <v>6</v>
      </c>
      <c r="E101" s="5" t="s">
        <v>219</v>
      </c>
      <c r="F101" s="5" t="s">
        <v>224</v>
      </c>
      <c r="G101" s="6">
        <v>45020</v>
      </c>
      <c r="H101" s="8">
        <v>519.09999999999991</v>
      </c>
      <c r="I101" s="7">
        <v>10</v>
      </c>
      <c r="J101" s="8">
        <v>5191</v>
      </c>
      <c r="K101" s="8">
        <f t="shared" si="15"/>
        <v>778.65</v>
      </c>
      <c r="L101" s="8">
        <v>5450.5499999999993</v>
      </c>
      <c r="M101" s="9">
        <f t="shared" si="16"/>
        <v>259.54999999999927</v>
      </c>
      <c r="N101" s="10">
        <f t="shared" si="17"/>
        <v>4.7619047619047471E-2</v>
      </c>
      <c r="O101">
        <f t="shared" si="18"/>
        <v>2023</v>
      </c>
      <c r="P101">
        <f t="shared" si="19"/>
        <v>2</v>
      </c>
    </row>
    <row r="102" spans="1:16" x14ac:dyDescent="0.3">
      <c r="A102" s="5" t="s">
        <v>72</v>
      </c>
      <c r="B102" s="5" t="s">
        <v>3</v>
      </c>
      <c r="C102" s="5" t="s">
        <v>227</v>
      </c>
      <c r="D102" s="5" t="s">
        <v>4</v>
      </c>
      <c r="E102" s="5" t="s">
        <v>220</v>
      </c>
      <c r="F102" s="5" t="s">
        <v>222</v>
      </c>
      <c r="G102" s="6">
        <v>45286</v>
      </c>
      <c r="H102" s="8">
        <v>443.40000000000003</v>
      </c>
      <c r="I102" s="7">
        <v>2</v>
      </c>
      <c r="J102" s="8">
        <v>886.80000000000007</v>
      </c>
      <c r="K102" s="8">
        <f t="shared" si="15"/>
        <v>133.02000000000001</v>
      </c>
      <c r="L102" s="8">
        <v>931.1400000000001</v>
      </c>
      <c r="M102" s="25">
        <f t="shared" si="16"/>
        <v>44.340000000000032</v>
      </c>
      <c r="N102" s="26">
        <f t="shared" si="17"/>
        <v>4.7619047619047471E-2</v>
      </c>
      <c r="O102" s="27">
        <f t="shared" si="18"/>
        <v>2023</v>
      </c>
      <c r="P102" s="27">
        <f t="shared" si="19"/>
        <v>2</v>
      </c>
    </row>
    <row r="103" spans="1:16" hidden="1" x14ac:dyDescent="0.3">
      <c r="A103" s="5" t="s">
        <v>144</v>
      </c>
      <c r="B103" s="5" t="s">
        <v>5</v>
      </c>
      <c r="C103" s="5" t="s">
        <v>228</v>
      </c>
      <c r="D103" s="5" t="s">
        <v>4</v>
      </c>
      <c r="E103" s="5" t="s">
        <v>220</v>
      </c>
      <c r="F103" s="5" t="s">
        <v>226</v>
      </c>
      <c r="G103" s="6">
        <v>45197</v>
      </c>
      <c r="H103" s="8">
        <v>685.40000000000009</v>
      </c>
      <c r="I103" s="7">
        <v>8</v>
      </c>
      <c r="J103" s="8">
        <v>5483.2000000000007</v>
      </c>
      <c r="K103" s="8">
        <f t="shared" si="15"/>
        <v>822.48000000000013</v>
      </c>
      <c r="L103" s="8">
        <v>5757.36</v>
      </c>
      <c r="M103" s="9">
        <f t="shared" si="16"/>
        <v>274.15999999999894</v>
      </c>
      <c r="N103" s="10">
        <f t="shared" si="17"/>
        <v>4.7619047619047471E-2</v>
      </c>
      <c r="O103">
        <f t="shared" si="18"/>
        <v>2023</v>
      </c>
      <c r="P103">
        <f t="shared" si="19"/>
        <v>2</v>
      </c>
    </row>
    <row r="104" spans="1:16" hidden="1" x14ac:dyDescent="0.3">
      <c r="A104" s="5" t="s">
        <v>31</v>
      </c>
      <c r="B104" s="5" t="s">
        <v>7</v>
      </c>
      <c r="C104" s="5" t="s">
        <v>229</v>
      </c>
      <c r="D104" s="5" t="s">
        <v>4</v>
      </c>
      <c r="E104" s="5" t="s">
        <v>220</v>
      </c>
      <c r="F104" s="5" t="s">
        <v>224</v>
      </c>
      <c r="G104" s="6">
        <v>45273</v>
      </c>
      <c r="H104" s="8">
        <v>937.2</v>
      </c>
      <c r="I104" s="7">
        <v>6</v>
      </c>
      <c r="J104" s="8">
        <v>5623.2000000000007</v>
      </c>
      <c r="K104" s="8">
        <f t="shared" si="15"/>
        <v>843.48000000000013</v>
      </c>
      <c r="L104" s="8">
        <v>5904.3600000000006</v>
      </c>
      <c r="M104" s="9">
        <f t="shared" si="16"/>
        <v>281.15999999999985</v>
      </c>
      <c r="N104" s="10">
        <f t="shared" si="17"/>
        <v>4.7619047619047471E-2</v>
      </c>
      <c r="O104">
        <f t="shared" si="18"/>
        <v>2023</v>
      </c>
      <c r="P104">
        <f t="shared" si="19"/>
        <v>3</v>
      </c>
    </row>
    <row r="105" spans="1:16" hidden="1" x14ac:dyDescent="0.3">
      <c r="A105" s="5" t="s">
        <v>164</v>
      </c>
      <c r="B105" s="5" t="s">
        <v>7</v>
      </c>
      <c r="C105" s="5" t="s">
        <v>229</v>
      </c>
      <c r="D105" s="5" t="s">
        <v>4</v>
      </c>
      <c r="E105" s="5" t="s">
        <v>220</v>
      </c>
      <c r="F105" s="5" t="s">
        <v>222</v>
      </c>
      <c r="G105" s="6">
        <v>44930</v>
      </c>
      <c r="H105" s="8">
        <v>718.6</v>
      </c>
      <c r="I105" s="7">
        <v>8</v>
      </c>
      <c r="J105" s="8">
        <v>5748.8</v>
      </c>
      <c r="K105" s="8">
        <f t="shared" si="15"/>
        <v>862.32</v>
      </c>
      <c r="L105" s="8">
        <v>6036.24</v>
      </c>
      <c r="M105" s="9">
        <f t="shared" si="16"/>
        <v>287.4399999999996</v>
      </c>
      <c r="N105" s="10">
        <f t="shared" si="17"/>
        <v>4.7619047619047471E-2</v>
      </c>
      <c r="O105">
        <f t="shared" si="18"/>
        <v>2023</v>
      </c>
      <c r="P105">
        <f t="shared" si="19"/>
        <v>2</v>
      </c>
    </row>
    <row r="106" spans="1:16" hidden="1" x14ac:dyDescent="0.3">
      <c r="A106" s="5" t="s">
        <v>109</v>
      </c>
      <c r="B106" s="5" t="s">
        <v>7</v>
      </c>
      <c r="C106" s="5" t="s">
        <v>229</v>
      </c>
      <c r="D106" s="5" t="s">
        <v>4</v>
      </c>
      <c r="E106" s="5" t="s">
        <v>219</v>
      </c>
      <c r="F106" s="5" t="s">
        <v>221</v>
      </c>
      <c r="G106" s="6">
        <v>45287</v>
      </c>
      <c r="H106" s="8">
        <v>643.6</v>
      </c>
      <c r="I106" s="7">
        <v>9</v>
      </c>
      <c r="J106" s="8">
        <v>5792.4</v>
      </c>
      <c r="K106" s="8">
        <f t="shared" si="15"/>
        <v>868.8599999999999</v>
      </c>
      <c r="L106" s="8">
        <v>6082.02</v>
      </c>
      <c r="M106" s="9">
        <f t="shared" si="16"/>
        <v>289.6200000000008</v>
      </c>
      <c r="N106" s="10">
        <f t="shared" si="17"/>
        <v>4.7619047619047471E-2</v>
      </c>
      <c r="O106">
        <f t="shared" si="18"/>
        <v>2023</v>
      </c>
      <c r="P106">
        <f t="shared" si="19"/>
        <v>2</v>
      </c>
    </row>
    <row r="107" spans="1:16" hidden="1" x14ac:dyDescent="0.3">
      <c r="A107" s="5" t="s">
        <v>83</v>
      </c>
      <c r="B107" s="5" t="s">
        <v>7</v>
      </c>
      <c r="C107" s="5" t="s">
        <v>229</v>
      </c>
      <c r="D107" s="5" t="s">
        <v>4</v>
      </c>
      <c r="E107" s="5" t="s">
        <v>219</v>
      </c>
      <c r="F107" s="5" t="s">
        <v>225</v>
      </c>
      <c r="G107" s="6">
        <v>45183</v>
      </c>
      <c r="H107" s="8">
        <v>976.1</v>
      </c>
      <c r="I107" s="7">
        <v>6</v>
      </c>
      <c r="J107" s="8">
        <v>5856.5999999999995</v>
      </c>
      <c r="K107" s="8">
        <f t="shared" si="15"/>
        <v>878.4899999999999</v>
      </c>
      <c r="L107" s="8">
        <v>6149.43</v>
      </c>
      <c r="M107" s="9">
        <f t="shared" si="16"/>
        <v>292.83000000000084</v>
      </c>
      <c r="N107" s="10">
        <f t="shared" si="17"/>
        <v>4.7619047619047471E-2</v>
      </c>
      <c r="O107">
        <f t="shared" si="18"/>
        <v>2023</v>
      </c>
      <c r="P107">
        <f t="shared" si="19"/>
        <v>3</v>
      </c>
    </row>
    <row r="108" spans="1:16" hidden="1" x14ac:dyDescent="0.3">
      <c r="A108" s="5" t="s">
        <v>96</v>
      </c>
      <c r="B108" s="5" t="s">
        <v>5</v>
      </c>
      <c r="C108" s="5" t="s">
        <v>228</v>
      </c>
      <c r="D108" s="5" t="s">
        <v>6</v>
      </c>
      <c r="E108" s="5" t="s">
        <v>220</v>
      </c>
      <c r="F108" s="5" t="s">
        <v>221</v>
      </c>
      <c r="G108" s="6">
        <v>45195</v>
      </c>
      <c r="H108" s="8">
        <v>991.9</v>
      </c>
      <c r="I108" s="7">
        <v>6</v>
      </c>
      <c r="J108" s="8">
        <v>5951.4</v>
      </c>
      <c r="K108" s="8">
        <f t="shared" si="15"/>
        <v>892.70999999999992</v>
      </c>
      <c r="L108" s="8">
        <v>6248.97</v>
      </c>
      <c r="M108" s="9">
        <f t="shared" si="16"/>
        <v>297.57000000000062</v>
      </c>
      <c r="N108" s="10">
        <f t="shared" si="17"/>
        <v>4.7619047619047471E-2</v>
      </c>
      <c r="O108">
        <f t="shared" si="18"/>
        <v>2023</v>
      </c>
      <c r="P108">
        <f t="shared" si="19"/>
        <v>3</v>
      </c>
    </row>
    <row r="109" spans="1:16" x14ac:dyDescent="0.3">
      <c r="A109" s="5" t="s">
        <v>200</v>
      </c>
      <c r="B109" s="5" t="s">
        <v>3</v>
      </c>
      <c r="C109" s="5" t="s">
        <v>227</v>
      </c>
      <c r="D109" s="5" t="s">
        <v>6</v>
      </c>
      <c r="E109" s="5" t="s">
        <v>219</v>
      </c>
      <c r="F109" s="5" t="s">
        <v>224</v>
      </c>
      <c r="G109" s="6">
        <v>45139</v>
      </c>
      <c r="H109" s="8">
        <v>123.4</v>
      </c>
      <c r="I109" s="7">
        <v>7</v>
      </c>
      <c r="J109" s="8">
        <v>863.8</v>
      </c>
      <c r="K109" s="8">
        <f t="shared" si="15"/>
        <v>129.57</v>
      </c>
      <c r="L109" s="8">
        <v>906.99</v>
      </c>
      <c r="M109" s="25">
        <f t="shared" si="16"/>
        <v>43.190000000000055</v>
      </c>
      <c r="N109" s="26">
        <f t="shared" si="17"/>
        <v>4.7619047619047471E-2</v>
      </c>
      <c r="O109" s="27">
        <f t="shared" si="18"/>
        <v>2023</v>
      </c>
      <c r="P109" s="27">
        <f t="shared" si="19"/>
        <v>1</v>
      </c>
    </row>
    <row r="110" spans="1:16" x14ac:dyDescent="0.3">
      <c r="A110" s="5" t="s">
        <v>204</v>
      </c>
      <c r="B110" s="5" t="s">
        <v>3</v>
      </c>
      <c r="C110" s="5" t="s">
        <v>227</v>
      </c>
      <c r="D110" s="5" t="s">
        <v>6</v>
      </c>
      <c r="E110" s="5" t="s">
        <v>220</v>
      </c>
      <c r="F110" s="5" t="s">
        <v>222</v>
      </c>
      <c r="G110" s="6">
        <v>45184</v>
      </c>
      <c r="H110" s="8">
        <v>740.69999999999993</v>
      </c>
      <c r="I110" s="7">
        <v>1</v>
      </c>
      <c r="J110" s="8">
        <v>740.69999999999993</v>
      </c>
      <c r="K110" s="8">
        <f t="shared" si="15"/>
        <v>111.10499999999999</v>
      </c>
      <c r="L110" s="8">
        <v>777.73500000000001</v>
      </c>
      <c r="M110" s="25">
        <f t="shared" si="16"/>
        <v>37.035000000000082</v>
      </c>
      <c r="N110" s="26">
        <f t="shared" si="17"/>
        <v>4.7619047619047471E-2</v>
      </c>
      <c r="O110" s="27">
        <f t="shared" si="18"/>
        <v>2023</v>
      </c>
      <c r="P110" s="27">
        <f t="shared" si="19"/>
        <v>2</v>
      </c>
    </row>
    <row r="111" spans="1:16" hidden="1" x14ac:dyDescent="0.3">
      <c r="A111" s="5" t="s">
        <v>71</v>
      </c>
      <c r="B111" s="5" t="s">
        <v>5</v>
      </c>
      <c r="C111" s="5" t="s">
        <v>228</v>
      </c>
      <c r="D111" s="5" t="s">
        <v>6</v>
      </c>
      <c r="E111" s="5" t="s">
        <v>219</v>
      </c>
      <c r="F111" s="5" t="s">
        <v>223</v>
      </c>
      <c r="G111" s="6">
        <v>45018</v>
      </c>
      <c r="H111" s="8">
        <v>859.80000000000007</v>
      </c>
      <c r="I111" s="7">
        <v>8</v>
      </c>
      <c r="J111" s="8">
        <v>6878.4000000000005</v>
      </c>
      <c r="K111" s="8">
        <f t="shared" si="15"/>
        <v>1031.76</v>
      </c>
      <c r="L111" s="8">
        <v>7222.32</v>
      </c>
      <c r="M111" s="9">
        <f t="shared" si="16"/>
        <v>343.91999999999916</v>
      </c>
      <c r="N111" s="10">
        <f t="shared" si="17"/>
        <v>4.7619047619047471E-2</v>
      </c>
      <c r="O111">
        <f t="shared" si="18"/>
        <v>2023</v>
      </c>
      <c r="P111">
        <f t="shared" si="19"/>
        <v>2</v>
      </c>
    </row>
    <row r="112" spans="1:16" hidden="1" x14ac:dyDescent="0.3">
      <c r="A112" s="5" t="s">
        <v>117</v>
      </c>
      <c r="B112" s="5" t="s">
        <v>5</v>
      </c>
      <c r="C112" s="5" t="s">
        <v>228</v>
      </c>
      <c r="D112" s="5" t="s">
        <v>6</v>
      </c>
      <c r="E112" s="5" t="s">
        <v>219</v>
      </c>
      <c r="F112" s="5" t="s">
        <v>225</v>
      </c>
      <c r="G112" s="6">
        <v>45258</v>
      </c>
      <c r="H112" s="8">
        <v>785.5</v>
      </c>
      <c r="I112" s="7">
        <v>9</v>
      </c>
      <c r="J112" s="8">
        <v>7069.5</v>
      </c>
      <c r="K112" s="8">
        <f t="shared" ref="K112:K143" si="20">J112*$L$4</f>
        <v>1060.425</v>
      </c>
      <c r="L112" s="8">
        <v>7422.9750000000004</v>
      </c>
      <c r="M112" s="9">
        <f t="shared" ref="M112:M143" si="21">L112-J112</f>
        <v>353.47500000000036</v>
      </c>
      <c r="N112" s="10">
        <f t="shared" ref="N112:N137" si="22">($L$8-$J$8)/$L$8</f>
        <v>4.7619047619047471E-2</v>
      </c>
      <c r="O112">
        <f t="shared" ref="O112:O143" si="23">YEAR(G112)</f>
        <v>2023</v>
      </c>
      <c r="P112">
        <f t="shared" ref="P112:P143" si="24">IF(H112&lt;400,1,IF(H112&lt;900,2,3))</f>
        <v>2</v>
      </c>
    </row>
    <row r="113" spans="1:16" hidden="1" x14ac:dyDescent="0.3">
      <c r="A113" s="5" t="s">
        <v>23</v>
      </c>
      <c r="B113" s="5" t="s">
        <v>5</v>
      </c>
      <c r="C113" s="5" t="s">
        <v>228</v>
      </c>
      <c r="D113" s="5" t="s">
        <v>6</v>
      </c>
      <c r="E113" s="5" t="s">
        <v>220</v>
      </c>
      <c r="F113" s="5" t="s">
        <v>222</v>
      </c>
      <c r="G113" s="6">
        <v>45267</v>
      </c>
      <c r="H113" s="8">
        <v>735.6</v>
      </c>
      <c r="I113" s="7">
        <v>10</v>
      </c>
      <c r="J113" s="8">
        <v>7356</v>
      </c>
      <c r="K113" s="8">
        <f t="shared" si="20"/>
        <v>1103.3999999999999</v>
      </c>
      <c r="L113" s="8">
        <v>7723.8</v>
      </c>
      <c r="M113" s="9">
        <f t="shared" si="21"/>
        <v>367.80000000000018</v>
      </c>
      <c r="N113" s="10">
        <f t="shared" si="22"/>
        <v>4.7619047619047471E-2</v>
      </c>
      <c r="O113">
        <f t="shared" si="23"/>
        <v>2023</v>
      </c>
      <c r="P113">
        <f t="shared" si="24"/>
        <v>2</v>
      </c>
    </row>
    <row r="114" spans="1:16" x14ac:dyDescent="0.3">
      <c r="A114" s="5" t="s">
        <v>104</v>
      </c>
      <c r="B114" s="5" t="s">
        <v>3</v>
      </c>
      <c r="C114" s="5" t="s">
        <v>227</v>
      </c>
      <c r="D114" s="5" t="s">
        <v>6</v>
      </c>
      <c r="E114" s="5" t="s">
        <v>219</v>
      </c>
      <c r="F114" s="5" t="s">
        <v>224</v>
      </c>
      <c r="G114" s="6">
        <v>45217</v>
      </c>
      <c r="H114" s="8">
        <v>424.7</v>
      </c>
      <c r="I114" s="7">
        <v>1</v>
      </c>
      <c r="J114" s="8">
        <v>424.7</v>
      </c>
      <c r="K114" s="8">
        <f t="shared" si="20"/>
        <v>63.704999999999998</v>
      </c>
      <c r="L114" s="8">
        <v>445.935</v>
      </c>
      <c r="M114" s="25">
        <f t="shared" si="21"/>
        <v>21.235000000000014</v>
      </c>
      <c r="N114" s="26">
        <f t="shared" si="22"/>
        <v>4.7619047619047471E-2</v>
      </c>
      <c r="O114" s="27">
        <f t="shared" si="23"/>
        <v>2023</v>
      </c>
      <c r="P114" s="27">
        <f t="shared" si="24"/>
        <v>2</v>
      </c>
    </row>
    <row r="115" spans="1:16" hidden="1" x14ac:dyDescent="0.3">
      <c r="A115" s="5" t="s">
        <v>94</v>
      </c>
      <c r="B115" s="5" t="s">
        <v>5</v>
      </c>
      <c r="C115" s="5" t="s">
        <v>228</v>
      </c>
      <c r="D115" s="5" t="s">
        <v>4</v>
      </c>
      <c r="E115" s="5" t="s">
        <v>220</v>
      </c>
      <c r="F115" s="5" t="s">
        <v>226</v>
      </c>
      <c r="G115" s="6">
        <v>45112</v>
      </c>
      <c r="H115" s="8">
        <v>783.1</v>
      </c>
      <c r="I115" s="7">
        <v>10</v>
      </c>
      <c r="J115" s="8">
        <v>7831</v>
      </c>
      <c r="K115" s="8">
        <f t="shared" si="20"/>
        <v>1174.6499999999999</v>
      </c>
      <c r="L115" s="8">
        <v>8222.5499999999993</v>
      </c>
      <c r="M115" s="9">
        <f t="shared" si="21"/>
        <v>391.54999999999927</v>
      </c>
      <c r="N115" s="10">
        <f t="shared" si="22"/>
        <v>4.7619047619047471E-2</v>
      </c>
      <c r="O115">
        <f t="shared" si="23"/>
        <v>2023</v>
      </c>
      <c r="P115">
        <f t="shared" si="24"/>
        <v>2</v>
      </c>
    </row>
    <row r="116" spans="1:16" hidden="1" x14ac:dyDescent="0.3">
      <c r="A116" s="5" t="s">
        <v>112</v>
      </c>
      <c r="B116" s="5" t="s">
        <v>7</v>
      </c>
      <c r="C116" s="5" t="s">
        <v>229</v>
      </c>
      <c r="D116" s="5" t="s">
        <v>6</v>
      </c>
      <c r="E116" s="5" t="s">
        <v>219</v>
      </c>
      <c r="F116" s="5" t="s">
        <v>221</v>
      </c>
      <c r="G116" s="6">
        <v>45136</v>
      </c>
      <c r="H116" s="8">
        <v>878.7</v>
      </c>
      <c r="I116" s="7">
        <v>10</v>
      </c>
      <c r="J116" s="8">
        <v>8787</v>
      </c>
      <c r="K116" s="8">
        <f t="shared" si="20"/>
        <v>1318.05</v>
      </c>
      <c r="L116" s="8">
        <v>9226.35</v>
      </c>
      <c r="M116" s="9">
        <f t="shared" si="21"/>
        <v>439.35000000000036</v>
      </c>
      <c r="N116" s="10">
        <f t="shared" si="22"/>
        <v>4.7619047619047471E-2</v>
      </c>
      <c r="O116">
        <f t="shared" si="23"/>
        <v>2023</v>
      </c>
      <c r="P116">
        <f t="shared" si="24"/>
        <v>2</v>
      </c>
    </row>
    <row r="117" spans="1:16" hidden="1" x14ac:dyDescent="0.3">
      <c r="A117" s="5" t="s">
        <v>182</v>
      </c>
      <c r="B117" s="5" t="s">
        <v>5</v>
      </c>
      <c r="C117" s="5" t="s">
        <v>228</v>
      </c>
      <c r="D117" s="5" t="s">
        <v>6</v>
      </c>
      <c r="E117" s="5" t="s">
        <v>220</v>
      </c>
      <c r="F117" s="5" t="s">
        <v>222</v>
      </c>
      <c r="G117" s="6">
        <v>45110</v>
      </c>
      <c r="H117" s="8">
        <v>955.8</v>
      </c>
      <c r="I117" s="7">
        <v>10</v>
      </c>
      <c r="J117" s="8">
        <v>9558</v>
      </c>
      <c r="K117" s="8">
        <f t="shared" si="20"/>
        <v>1433.7</v>
      </c>
      <c r="L117" s="8">
        <v>10035.9</v>
      </c>
      <c r="M117" s="9">
        <f t="shared" si="21"/>
        <v>477.89999999999964</v>
      </c>
      <c r="N117" s="10">
        <f t="shared" si="22"/>
        <v>4.7619047619047471E-2</v>
      </c>
      <c r="O117">
        <f t="shared" si="23"/>
        <v>2023</v>
      </c>
      <c r="P117">
        <f t="shared" si="24"/>
        <v>3</v>
      </c>
    </row>
    <row r="118" spans="1:16" x14ac:dyDescent="0.3">
      <c r="A118" s="5" t="s">
        <v>183</v>
      </c>
      <c r="B118" s="5" t="s">
        <v>3</v>
      </c>
      <c r="C118" s="5" t="s">
        <v>227</v>
      </c>
      <c r="D118" s="5" t="s">
        <v>6</v>
      </c>
      <c r="E118" s="5" t="s">
        <v>219</v>
      </c>
      <c r="F118" s="5" t="s">
        <v>225</v>
      </c>
      <c r="G118" s="6">
        <v>45498</v>
      </c>
      <c r="H118" s="8">
        <v>989.80000000000007</v>
      </c>
      <c r="I118" s="7">
        <v>10</v>
      </c>
      <c r="J118" s="8">
        <v>9898</v>
      </c>
      <c r="K118" s="8">
        <f t="shared" si="20"/>
        <v>1484.7</v>
      </c>
      <c r="L118" s="8">
        <v>10392.9</v>
      </c>
      <c r="M118" s="25">
        <f t="shared" si="21"/>
        <v>494.89999999999964</v>
      </c>
      <c r="N118" s="26">
        <f t="shared" si="22"/>
        <v>4.7619047619047471E-2</v>
      </c>
      <c r="O118" s="27">
        <f t="shared" si="23"/>
        <v>2024</v>
      </c>
      <c r="P118" s="27">
        <f t="shared" si="24"/>
        <v>3</v>
      </c>
    </row>
    <row r="119" spans="1:16" x14ac:dyDescent="0.3">
      <c r="A119" s="5" t="s">
        <v>136</v>
      </c>
      <c r="B119" s="5" t="s">
        <v>3</v>
      </c>
      <c r="C119" s="5" t="s">
        <v>227</v>
      </c>
      <c r="D119" s="5" t="s">
        <v>6</v>
      </c>
      <c r="E119" s="5" t="s">
        <v>219</v>
      </c>
      <c r="F119" s="5" t="s">
        <v>223</v>
      </c>
      <c r="G119" s="6">
        <v>45509</v>
      </c>
      <c r="H119" s="8">
        <v>995.6</v>
      </c>
      <c r="I119" s="7">
        <v>8</v>
      </c>
      <c r="J119" s="8">
        <v>7964.8</v>
      </c>
      <c r="K119" s="8">
        <f t="shared" si="20"/>
        <v>1194.72</v>
      </c>
      <c r="L119" s="8">
        <v>8363.0399999999991</v>
      </c>
      <c r="M119" s="25">
        <f t="shared" si="21"/>
        <v>398.23999999999887</v>
      </c>
      <c r="N119" s="26">
        <f t="shared" si="22"/>
        <v>4.7619047619047471E-2</v>
      </c>
      <c r="O119" s="27">
        <f t="shared" si="23"/>
        <v>2024</v>
      </c>
      <c r="P119" s="27">
        <f t="shared" si="24"/>
        <v>3</v>
      </c>
    </row>
    <row r="120" spans="1:16" hidden="1" x14ac:dyDescent="0.3">
      <c r="A120" s="5" t="s">
        <v>159</v>
      </c>
      <c r="B120" s="5" t="s">
        <v>5</v>
      </c>
      <c r="C120" s="5" t="s">
        <v>228</v>
      </c>
      <c r="D120" s="5" t="s">
        <v>4</v>
      </c>
      <c r="E120" s="5" t="s">
        <v>220</v>
      </c>
      <c r="F120" s="5" t="s">
        <v>226</v>
      </c>
      <c r="G120" s="6">
        <v>45600</v>
      </c>
      <c r="H120" s="8">
        <v>304.10000000000002</v>
      </c>
      <c r="I120" s="7">
        <v>1</v>
      </c>
      <c r="J120" s="8">
        <v>304.10000000000002</v>
      </c>
      <c r="K120" s="8">
        <f t="shared" si="20"/>
        <v>45.615000000000002</v>
      </c>
      <c r="L120" s="8">
        <v>319.30500000000001</v>
      </c>
      <c r="M120" s="9">
        <f t="shared" si="21"/>
        <v>15.204999999999984</v>
      </c>
      <c r="N120" s="10">
        <f t="shared" si="22"/>
        <v>4.7619047619047471E-2</v>
      </c>
      <c r="O120">
        <f t="shared" si="23"/>
        <v>2024</v>
      </c>
      <c r="P120">
        <f t="shared" si="24"/>
        <v>1</v>
      </c>
    </row>
    <row r="121" spans="1:16" hidden="1" x14ac:dyDescent="0.3">
      <c r="A121" s="5" t="s">
        <v>70</v>
      </c>
      <c r="B121" s="5" t="s">
        <v>7</v>
      </c>
      <c r="C121" s="5" t="s">
        <v>229</v>
      </c>
      <c r="D121" s="5" t="s">
        <v>6</v>
      </c>
      <c r="E121" s="5" t="s">
        <v>220</v>
      </c>
      <c r="F121" s="5" t="s">
        <v>222</v>
      </c>
      <c r="G121" s="6">
        <v>45303</v>
      </c>
      <c r="H121" s="8">
        <v>161.6</v>
      </c>
      <c r="I121" s="7">
        <v>2</v>
      </c>
      <c r="J121" s="8">
        <v>323.2</v>
      </c>
      <c r="K121" s="8">
        <f t="shared" si="20"/>
        <v>48.48</v>
      </c>
      <c r="L121" s="8">
        <v>339.36</v>
      </c>
      <c r="M121" s="9">
        <f t="shared" si="21"/>
        <v>16.160000000000025</v>
      </c>
      <c r="N121" s="10">
        <f t="shared" si="22"/>
        <v>4.7619047619047471E-2</v>
      </c>
      <c r="O121">
        <f t="shared" si="23"/>
        <v>2024</v>
      </c>
      <c r="P121">
        <f t="shared" si="24"/>
        <v>1</v>
      </c>
    </row>
    <row r="122" spans="1:16" hidden="1" x14ac:dyDescent="0.3">
      <c r="A122" s="5" t="s">
        <v>133</v>
      </c>
      <c r="B122" s="5" t="s">
        <v>7</v>
      </c>
      <c r="C122" s="5" t="s">
        <v>229</v>
      </c>
      <c r="D122" s="5" t="s">
        <v>4</v>
      </c>
      <c r="E122" s="5" t="s">
        <v>219</v>
      </c>
      <c r="F122" s="5" t="s">
        <v>225</v>
      </c>
      <c r="G122" s="6">
        <v>45570</v>
      </c>
      <c r="H122" s="8">
        <v>513.6</v>
      </c>
      <c r="I122" s="7">
        <v>1</v>
      </c>
      <c r="J122" s="8">
        <v>513.6</v>
      </c>
      <c r="K122" s="8">
        <f t="shared" si="20"/>
        <v>77.040000000000006</v>
      </c>
      <c r="L122" s="8">
        <v>539.28</v>
      </c>
      <c r="M122" s="9">
        <f t="shared" si="21"/>
        <v>25.67999999999995</v>
      </c>
      <c r="N122" s="10">
        <f t="shared" si="22"/>
        <v>4.7619047619047471E-2</v>
      </c>
      <c r="O122">
        <f t="shared" si="23"/>
        <v>2024</v>
      </c>
      <c r="P122">
        <f t="shared" si="24"/>
        <v>2</v>
      </c>
    </row>
    <row r="123" spans="1:16" x14ac:dyDescent="0.3">
      <c r="A123" s="5" t="s">
        <v>84</v>
      </c>
      <c r="B123" s="5" t="s">
        <v>3</v>
      </c>
      <c r="C123" s="5" t="s">
        <v>227</v>
      </c>
      <c r="D123" s="5" t="s">
        <v>6</v>
      </c>
      <c r="E123" s="5" t="s">
        <v>219</v>
      </c>
      <c r="F123" s="5" t="s">
        <v>224</v>
      </c>
      <c r="G123" s="6">
        <v>45574</v>
      </c>
      <c r="H123" s="8">
        <v>787.69999999999993</v>
      </c>
      <c r="I123" s="7">
        <v>10</v>
      </c>
      <c r="J123" s="8">
        <v>7877</v>
      </c>
      <c r="K123" s="8">
        <f t="shared" si="20"/>
        <v>1181.55</v>
      </c>
      <c r="L123" s="8">
        <v>8270.85</v>
      </c>
      <c r="M123" s="25">
        <f t="shared" si="21"/>
        <v>393.85000000000036</v>
      </c>
      <c r="N123" s="26">
        <f t="shared" si="22"/>
        <v>4.7619047619047471E-2</v>
      </c>
      <c r="O123" s="27">
        <f t="shared" si="23"/>
        <v>2024</v>
      </c>
      <c r="P123" s="27">
        <f t="shared" si="24"/>
        <v>2</v>
      </c>
    </row>
    <row r="124" spans="1:16" hidden="1" x14ac:dyDescent="0.3">
      <c r="A124" s="5" t="s">
        <v>82</v>
      </c>
      <c r="B124" s="5" t="s">
        <v>5</v>
      </c>
      <c r="C124" s="5" t="s">
        <v>228</v>
      </c>
      <c r="D124" s="5" t="s">
        <v>6</v>
      </c>
      <c r="E124" s="5" t="s">
        <v>220</v>
      </c>
      <c r="F124" s="5" t="s">
        <v>221</v>
      </c>
      <c r="G124" s="6">
        <v>45537</v>
      </c>
      <c r="H124" s="8">
        <v>334.7</v>
      </c>
      <c r="I124" s="7">
        <v>2</v>
      </c>
      <c r="J124" s="8">
        <v>669.4</v>
      </c>
      <c r="K124" s="8">
        <f t="shared" si="20"/>
        <v>100.41</v>
      </c>
      <c r="L124" s="8">
        <v>702.87000000000012</v>
      </c>
      <c r="M124" s="9">
        <f t="shared" si="21"/>
        <v>33.470000000000141</v>
      </c>
      <c r="N124" s="10">
        <f t="shared" si="22"/>
        <v>4.7619047619047471E-2</v>
      </c>
      <c r="O124">
        <f t="shared" si="23"/>
        <v>2024</v>
      </c>
      <c r="P124">
        <f t="shared" si="24"/>
        <v>1</v>
      </c>
    </row>
    <row r="125" spans="1:16" x14ac:dyDescent="0.3">
      <c r="A125" s="5" t="s">
        <v>73</v>
      </c>
      <c r="B125" s="5" t="s">
        <v>3</v>
      </c>
      <c r="C125" s="5" t="s">
        <v>227</v>
      </c>
      <c r="D125" s="5" t="s">
        <v>6</v>
      </c>
      <c r="E125" s="5" t="s">
        <v>219</v>
      </c>
      <c r="F125" s="5" t="s">
        <v>221</v>
      </c>
      <c r="G125" s="6">
        <v>45644</v>
      </c>
      <c r="H125" s="8">
        <v>896</v>
      </c>
      <c r="I125" s="7">
        <v>8</v>
      </c>
      <c r="J125" s="8">
        <v>7168</v>
      </c>
      <c r="K125" s="8">
        <f t="shared" si="20"/>
        <v>1075.2</v>
      </c>
      <c r="L125" s="8">
        <v>7526.4</v>
      </c>
      <c r="M125" s="25">
        <f t="shared" si="21"/>
        <v>358.39999999999964</v>
      </c>
      <c r="N125" s="26">
        <f t="shared" si="22"/>
        <v>4.7619047619047471E-2</v>
      </c>
      <c r="O125" s="27">
        <f t="shared" si="23"/>
        <v>2024</v>
      </c>
      <c r="P125" s="27">
        <f t="shared" si="24"/>
        <v>2</v>
      </c>
    </row>
    <row r="126" spans="1:16" hidden="1" x14ac:dyDescent="0.3">
      <c r="A126" s="5" t="s">
        <v>17</v>
      </c>
      <c r="B126" s="5" t="s">
        <v>5</v>
      </c>
      <c r="C126" s="5" t="s">
        <v>228</v>
      </c>
      <c r="D126" s="5" t="s">
        <v>6</v>
      </c>
      <c r="E126" s="5" t="s">
        <v>220</v>
      </c>
      <c r="F126" s="5" t="s">
        <v>223</v>
      </c>
      <c r="G126" s="6">
        <v>45299</v>
      </c>
      <c r="H126" s="8">
        <v>152.79999999999998</v>
      </c>
      <c r="I126" s="7">
        <v>5</v>
      </c>
      <c r="J126" s="8">
        <v>764</v>
      </c>
      <c r="K126" s="8">
        <f t="shared" si="20"/>
        <v>114.6</v>
      </c>
      <c r="L126" s="8">
        <v>802.2</v>
      </c>
      <c r="M126" s="9">
        <f t="shared" si="21"/>
        <v>38.200000000000045</v>
      </c>
      <c r="N126" s="10">
        <f t="shared" si="22"/>
        <v>4.7619047619047471E-2</v>
      </c>
      <c r="O126">
        <f t="shared" si="23"/>
        <v>2024</v>
      </c>
      <c r="P126">
        <f t="shared" si="24"/>
        <v>1</v>
      </c>
    </row>
    <row r="127" spans="1:16" hidden="1" x14ac:dyDescent="0.3">
      <c r="A127" s="5" t="s">
        <v>212</v>
      </c>
      <c r="B127" s="5" t="s">
        <v>5</v>
      </c>
      <c r="C127" s="5" t="s">
        <v>228</v>
      </c>
      <c r="D127" s="5" t="s">
        <v>4</v>
      </c>
      <c r="E127" s="5" t="s">
        <v>219</v>
      </c>
      <c r="F127" s="5" t="s">
        <v>221</v>
      </c>
      <c r="G127" s="6">
        <v>45556</v>
      </c>
      <c r="H127" s="8">
        <v>437</v>
      </c>
      <c r="I127" s="7">
        <v>2</v>
      </c>
      <c r="J127" s="8">
        <v>874</v>
      </c>
      <c r="K127" s="8">
        <f t="shared" si="20"/>
        <v>131.1</v>
      </c>
      <c r="L127" s="8">
        <v>917.69999999999993</v>
      </c>
      <c r="M127" s="9">
        <f t="shared" si="21"/>
        <v>43.699999999999932</v>
      </c>
      <c r="N127" s="10">
        <f t="shared" si="22"/>
        <v>4.7619047619047471E-2</v>
      </c>
      <c r="O127">
        <f t="shared" si="23"/>
        <v>2024</v>
      </c>
      <c r="P127">
        <f t="shared" si="24"/>
        <v>2</v>
      </c>
    </row>
    <row r="128" spans="1:16" hidden="1" x14ac:dyDescent="0.3">
      <c r="A128" s="5" t="s">
        <v>110</v>
      </c>
      <c r="B128" s="5" t="s">
        <v>5</v>
      </c>
      <c r="C128" s="5" t="s">
        <v>228</v>
      </c>
      <c r="D128" s="5" t="s">
        <v>6</v>
      </c>
      <c r="E128" s="5" t="s">
        <v>219</v>
      </c>
      <c r="F128" s="5" t="s">
        <v>221</v>
      </c>
      <c r="G128" s="6">
        <v>45375</v>
      </c>
      <c r="H128" s="8">
        <v>897.5</v>
      </c>
      <c r="I128" s="7">
        <v>1</v>
      </c>
      <c r="J128" s="8">
        <v>897.5</v>
      </c>
      <c r="K128" s="8">
        <f t="shared" si="20"/>
        <v>134.625</v>
      </c>
      <c r="L128" s="8">
        <v>942.375</v>
      </c>
      <c r="M128" s="9">
        <f t="shared" si="21"/>
        <v>44.875</v>
      </c>
      <c r="N128" s="10">
        <f t="shared" si="22"/>
        <v>4.7619047619047471E-2</v>
      </c>
      <c r="O128">
        <f t="shared" si="23"/>
        <v>2024</v>
      </c>
      <c r="P128">
        <f t="shared" si="24"/>
        <v>2</v>
      </c>
    </row>
    <row r="129" spans="1:16" hidden="1" x14ac:dyDescent="0.3">
      <c r="A129" s="5" t="s">
        <v>169</v>
      </c>
      <c r="B129" s="5" t="s">
        <v>5</v>
      </c>
      <c r="C129" s="5" t="s">
        <v>228</v>
      </c>
      <c r="D129" s="5" t="s">
        <v>6</v>
      </c>
      <c r="E129" s="5" t="s">
        <v>220</v>
      </c>
      <c r="F129" s="5" t="s">
        <v>226</v>
      </c>
      <c r="G129" s="6">
        <v>45301</v>
      </c>
      <c r="H129" s="8">
        <v>164.8</v>
      </c>
      <c r="I129" s="7">
        <v>6</v>
      </c>
      <c r="J129" s="8">
        <v>988.8</v>
      </c>
      <c r="K129" s="8">
        <f t="shared" si="20"/>
        <v>148.32</v>
      </c>
      <c r="L129" s="8">
        <v>1038.24</v>
      </c>
      <c r="M129" s="9">
        <f t="shared" si="21"/>
        <v>49.440000000000055</v>
      </c>
      <c r="N129" s="10">
        <f t="shared" si="22"/>
        <v>4.7619047619047471E-2</v>
      </c>
      <c r="O129">
        <f t="shared" si="23"/>
        <v>2024</v>
      </c>
      <c r="P129">
        <f t="shared" si="24"/>
        <v>1</v>
      </c>
    </row>
    <row r="130" spans="1:16" hidden="1" x14ac:dyDescent="0.3">
      <c r="A130" s="5" t="s">
        <v>27</v>
      </c>
      <c r="B130" s="5" t="s">
        <v>7</v>
      </c>
      <c r="C130" s="5" t="s">
        <v>229</v>
      </c>
      <c r="D130" s="5" t="s">
        <v>4</v>
      </c>
      <c r="E130" s="5" t="s">
        <v>219</v>
      </c>
      <c r="F130" s="5" t="s">
        <v>223</v>
      </c>
      <c r="G130" s="6">
        <v>45369</v>
      </c>
      <c r="H130" s="8">
        <v>255.10000000000002</v>
      </c>
      <c r="I130" s="7">
        <v>4</v>
      </c>
      <c r="J130" s="8">
        <v>1020.4000000000001</v>
      </c>
      <c r="K130" s="8">
        <f t="shared" si="20"/>
        <v>153.06</v>
      </c>
      <c r="L130" s="8">
        <v>1071.42</v>
      </c>
      <c r="M130" s="9">
        <f t="shared" si="21"/>
        <v>51.019999999999982</v>
      </c>
      <c r="N130" s="10">
        <f t="shared" si="22"/>
        <v>4.7619047619047471E-2</v>
      </c>
      <c r="O130">
        <f t="shared" si="23"/>
        <v>2024</v>
      </c>
      <c r="P130">
        <f t="shared" si="24"/>
        <v>1</v>
      </c>
    </row>
    <row r="131" spans="1:16" hidden="1" x14ac:dyDescent="0.3">
      <c r="A131" s="5" t="s">
        <v>135</v>
      </c>
      <c r="B131" s="5" t="s">
        <v>7</v>
      </c>
      <c r="C131" s="5" t="s">
        <v>229</v>
      </c>
      <c r="D131" s="5" t="s">
        <v>6</v>
      </c>
      <c r="E131" s="5" t="s">
        <v>220</v>
      </c>
      <c r="F131" s="5" t="s">
        <v>222</v>
      </c>
      <c r="G131" s="6">
        <v>45340</v>
      </c>
      <c r="H131" s="8">
        <v>534.4</v>
      </c>
      <c r="I131" s="7">
        <v>2</v>
      </c>
      <c r="J131" s="8">
        <v>1068.8</v>
      </c>
      <c r="K131" s="8">
        <f t="shared" si="20"/>
        <v>160.32</v>
      </c>
      <c r="L131" s="8">
        <v>1122.24</v>
      </c>
      <c r="M131" s="9">
        <f t="shared" si="21"/>
        <v>53.440000000000055</v>
      </c>
      <c r="N131" s="10">
        <f t="shared" si="22"/>
        <v>4.7619047619047471E-2</v>
      </c>
      <c r="O131">
        <f t="shared" si="23"/>
        <v>2024</v>
      </c>
      <c r="P131">
        <f t="shared" si="24"/>
        <v>2</v>
      </c>
    </row>
    <row r="132" spans="1:16" hidden="1" x14ac:dyDescent="0.3">
      <c r="A132" s="5" t="s">
        <v>148</v>
      </c>
      <c r="B132" s="5" t="s">
        <v>7</v>
      </c>
      <c r="C132" s="5" t="s">
        <v>229</v>
      </c>
      <c r="D132" s="5" t="s">
        <v>6</v>
      </c>
      <c r="E132" s="5" t="s">
        <v>219</v>
      </c>
      <c r="F132" s="5" t="s">
        <v>224</v>
      </c>
      <c r="G132" s="6">
        <v>45374</v>
      </c>
      <c r="H132" s="8">
        <v>348.40000000000003</v>
      </c>
      <c r="I132" s="7">
        <v>4</v>
      </c>
      <c r="J132" s="8">
        <v>1393.6000000000001</v>
      </c>
      <c r="K132" s="8">
        <f t="shared" si="20"/>
        <v>209.04000000000002</v>
      </c>
      <c r="L132" s="8">
        <v>1463.28</v>
      </c>
      <c r="M132" s="9">
        <f t="shared" si="21"/>
        <v>69.679999999999836</v>
      </c>
      <c r="N132" s="10">
        <f t="shared" si="22"/>
        <v>4.7619047619047471E-2</v>
      </c>
      <c r="O132">
        <f t="shared" si="23"/>
        <v>2024</v>
      </c>
      <c r="P132">
        <f t="shared" si="24"/>
        <v>1</v>
      </c>
    </row>
    <row r="133" spans="1:16" hidden="1" x14ac:dyDescent="0.3">
      <c r="A133" s="5" t="s">
        <v>207</v>
      </c>
      <c r="B133" s="5" t="s">
        <v>7</v>
      </c>
      <c r="C133" s="5" t="s">
        <v>229</v>
      </c>
      <c r="D133" s="5" t="s">
        <v>6</v>
      </c>
      <c r="E133" s="5" t="s">
        <v>220</v>
      </c>
      <c r="F133" s="5" t="s">
        <v>225</v>
      </c>
      <c r="G133" s="6">
        <v>45574</v>
      </c>
      <c r="H133" s="8">
        <v>735.19999999999993</v>
      </c>
      <c r="I133" s="7">
        <v>2</v>
      </c>
      <c r="J133" s="8">
        <v>1470.3999999999999</v>
      </c>
      <c r="K133" s="8">
        <f t="shared" si="20"/>
        <v>220.55999999999997</v>
      </c>
      <c r="L133" s="8">
        <v>1543.92</v>
      </c>
      <c r="M133" s="9">
        <f t="shared" si="21"/>
        <v>73.520000000000209</v>
      </c>
      <c r="N133" s="10">
        <f t="shared" si="22"/>
        <v>4.7619047619047471E-2</v>
      </c>
      <c r="O133">
        <f t="shared" si="23"/>
        <v>2024</v>
      </c>
      <c r="P133">
        <f t="shared" si="24"/>
        <v>2</v>
      </c>
    </row>
    <row r="134" spans="1:16" x14ac:dyDescent="0.3">
      <c r="A134" s="5" t="s">
        <v>30</v>
      </c>
      <c r="B134" s="5" t="s">
        <v>3</v>
      </c>
      <c r="C134" s="5" t="s">
        <v>227</v>
      </c>
      <c r="D134" s="5" t="s">
        <v>6</v>
      </c>
      <c r="E134" s="5" t="s">
        <v>220</v>
      </c>
      <c r="F134" s="5" t="s">
        <v>221</v>
      </c>
      <c r="G134" s="6">
        <v>45352</v>
      </c>
      <c r="H134" s="8">
        <v>713.8</v>
      </c>
      <c r="I134" s="7">
        <v>10</v>
      </c>
      <c r="J134" s="8">
        <v>7138</v>
      </c>
      <c r="K134" s="8">
        <f t="shared" si="20"/>
        <v>1070.7</v>
      </c>
      <c r="L134" s="8">
        <v>7494.9</v>
      </c>
      <c r="M134" s="25">
        <f t="shared" si="21"/>
        <v>356.89999999999964</v>
      </c>
      <c r="N134" s="26">
        <f t="shared" si="22"/>
        <v>4.7619047619047471E-2</v>
      </c>
      <c r="O134" s="27">
        <f t="shared" si="23"/>
        <v>2024</v>
      </c>
      <c r="P134" s="27">
        <f t="shared" si="24"/>
        <v>2</v>
      </c>
    </row>
    <row r="135" spans="1:16" x14ac:dyDescent="0.3">
      <c r="A135" s="5" t="s">
        <v>90</v>
      </c>
      <c r="B135" s="5" t="s">
        <v>3</v>
      </c>
      <c r="C135" s="5" t="s">
        <v>227</v>
      </c>
      <c r="D135" s="5" t="s">
        <v>6</v>
      </c>
      <c r="E135" s="5" t="s">
        <v>220</v>
      </c>
      <c r="F135" s="5" t="s">
        <v>222</v>
      </c>
      <c r="G135" s="6">
        <v>45420</v>
      </c>
      <c r="H135" s="8">
        <v>746.7</v>
      </c>
      <c r="I135" s="7">
        <v>9</v>
      </c>
      <c r="J135" s="8">
        <v>6720.2999999999993</v>
      </c>
      <c r="K135" s="8">
        <f t="shared" si="20"/>
        <v>1008.0449999999998</v>
      </c>
      <c r="L135" s="8">
        <v>7056.3149999999996</v>
      </c>
      <c r="M135" s="25">
        <f t="shared" si="21"/>
        <v>336.01500000000033</v>
      </c>
      <c r="N135" s="26">
        <f t="shared" si="22"/>
        <v>4.7619047619047471E-2</v>
      </c>
      <c r="O135" s="27">
        <f t="shared" si="23"/>
        <v>2024</v>
      </c>
      <c r="P135" s="27">
        <f t="shared" si="24"/>
        <v>2</v>
      </c>
    </row>
    <row r="136" spans="1:16" x14ac:dyDescent="0.3">
      <c r="A136" s="5" t="s">
        <v>155</v>
      </c>
      <c r="B136" s="5" t="s">
        <v>3</v>
      </c>
      <c r="C136" s="5" t="s">
        <v>227</v>
      </c>
      <c r="D136" s="5" t="s">
        <v>6</v>
      </c>
      <c r="E136" s="5" t="s">
        <v>219</v>
      </c>
      <c r="F136" s="5" t="s">
        <v>224</v>
      </c>
      <c r="G136" s="6">
        <v>45585</v>
      </c>
      <c r="H136" s="8">
        <v>725</v>
      </c>
      <c r="I136" s="7">
        <v>8</v>
      </c>
      <c r="J136" s="8">
        <v>5800</v>
      </c>
      <c r="K136" s="8">
        <f t="shared" si="20"/>
        <v>870</v>
      </c>
      <c r="L136" s="8">
        <v>6090</v>
      </c>
      <c r="M136" s="25">
        <f t="shared" si="21"/>
        <v>290</v>
      </c>
      <c r="N136" s="26">
        <f t="shared" si="22"/>
        <v>4.7619047619047471E-2</v>
      </c>
      <c r="O136" s="27">
        <f t="shared" si="23"/>
        <v>2024</v>
      </c>
      <c r="P136" s="27">
        <f t="shared" si="24"/>
        <v>2</v>
      </c>
    </row>
    <row r="137" spans="1:16" x14ac:dyDescent="0.3">
      <c r="A137" s="5" t="s">
        <v>147</v>
      </c>
      <c r="B137" s="5" t="s">
        <v>3</v>
      </c>
      <c r="C137" s="5" t="s">
        <v>227</v>
      </c>
      <c r="D137" s="5" t="s">
        <v>4</v>
      </c>
      <c r="E137" s="5" t="s">
        <v>219</v>
      </c>
      <c r="F137" s="5" t="s">
        <v>224</v>
      </c>
      <c r="G137" s="6">
        <v>45331</v>
      </c>
      <c r="H137" s="8">
        <v>921.3</v>
      </c>
      <c r="I137" s="7">
        <v>6</v>
      </c>
      <c r="J137" s="8">
        <v>5527.7999999999993</v>
      </c>
      <c r="K137" s="8">
        <f t="shared" si="20"/>
        <v>829.16999999999985</v>
      </c>
      <c r="L137" s="8">
        <v>5804.19</v>
      </c>
      <c r="M137" s="25">
        <f t="shared" si="21"/>
        <v>276.39000000000033</v>
      </c>
      <c r="N137" s="26">
        <f t="shared" si="22"/>
        <v>4.7619047619047471E-2</v>
      </c>
      <c r="O137" s="27">
        <f t="shared" si="23"/>
        <v>2024</v>
      </c>
      <c r="P137" s="27">
        <f t="shared" si="24"/>
        <v>3</v>
      </c>
    </row>
    <row r="138" spans="1:16" x14ac:dyDescent="0.3">
      <c r="A138" s="5" t="s">
        <v>16</v>
      </c>
      <c r="B138" s="5" t="s">
        <v>3</v>
      </c>
      <c r="C138" s="5" t="s">
        <v>227</v>
      </c>
      <c r="D138" s="5" t="s">
        <v>4</v>
      </c>
      <c r="E138" s="5" t="s">
        <v>220</v>
      </c>
      <c r="F138" s="5" t="s">
        <v>221</v>
      </c>
      <c r="G138" s="6">
        <v>45454</v>
      </c>
      <c r="H138" s="8">
        <v>746.9</v>
      </c>
      <c r="I138" s="7">
        <v>7</v>
      </c>
      <c r="J138" s="8">
        <v>5228.3</v>
      </c>
      <c r="K138" s="8">
        <f t="shared" si="20"/>
        <v>784.245</v>
      </c>
      <c r="L138" s="8">
        <v>5489.7150000000001</v>
      </c>
      <c r="M138" s="25">
        <f t="shared" si="21"/>
        <v>261.41499999999996</v>
      </c>
      <c r="N138" s="26">
        <f>(L138-J138)/L138</f>
        <v>4.7619047619047609E-2</v>
      </c>
      <c r="O138" s="27">
        <f t="shared" si="23"/>
        <v>2024</v>
      </c>
      <c r="P138" s="27">
        <f t="shared" si="24"/>
        <v>2</v>
      </c>
    </row>
    <row r="139" spans="1:16" hidden="1" x14ac:dyDescent="0.3">
      <c r="A139" s="5" t="s">
        <v>75</v>
      </c>
      <c r="B139" s="5" t="s">
        <v>5</v>
      </c>
      <c r="C139" s="5" t="s">
        <v>228</v>
      </c>
      <c r="D139" s="5" t="s">
        <v>6</v>
      </c>
      <c r="E139" s="5" t="s">
        <v>219</v>
      </c>
      <c r="F139" s="5" t="s">
        <v>223</v>
      </c>
      <c r="G139" s="6">
        <v>45454</v>
      </c>
      <c r="H139" s="8">
        <v>306.10000000000002</v>
      </c>
      <c r="I139" s="7">
        <v>6</v>
      </c>
      <c r="J139" s="8">
        <v>1836.6</v>
      </c>
      <c r="K139" s="8">
        <f t="shared" si="20"/>
        <v>275.48999999999995</v>
      </c>
      <c r="L139" s="8">
        <v>1928.4299999999998</v>
      </c>
      <c r="M139" s="9">
        <f t="shared" si="21"/>
        <v>91.829999999999927</v>
      </c>
      <c r="N139" s="10">
        <f t="shared" ref="N139:N170" si="25">($L$8-$J$8)/$L$8</f>
        <v>4.7619047619047471E-2</v>
      </c>
      <c r="O139">
        <f t="shared" si="23"/>
        <v>2024</v>
      </c>
      <c r="P139">
        <f t="shared" si="24"/>
        <v>1</v>
      </c>
    </row>
    <row r="140" spans="1:16" hidden="1" x14ac:dyDescent="0.3">
      <c r="A140" s="5" t="s">
        <v>203</v>
      </c>
      <c r="B140" s="5" t="s">
        <v>7</v>
      </c>
      <c r="C140" s="5" t="s">
        <v>229</v>
      </c>
      <c r="D140" s="5" t="s">
        <v>4</v>
      </c>
      <c r="E140" s="5" t="s">
        <v>220</v>
      </c>
      <c r="F140" s="5" t="s">
        <v>222</v>
      </c>
      <c r="G140" s="6">
        <v>45535</v>
      </c>
      <c r="H140" s="8">
        <v>464.7</v>
      </c>
      <c r="I140" s="7">
        <v>4</v>
      </c>
      <c r="J140" s="8">
        <v>1858.8</v>
      </c>
      <c r="K140" s="8">
        <f t="shared" si="20"/>
        <v>278.82</v>
      </c>
      <c r="L140" s="8">
        <v>1951.74</v>
      </c>
      <c r="M140" s="9">
        <f t="shared" si="21"/>
        <v>92.940000000000055</v>
      </c>
      <c r="N140" s="10">
        <f t="shared" si="25"/>
        <v>4.7619047619047471E-2</v>
      </c>
      <c r="O140">
        <f t="shared" si="23"/>
        <v>2024</v>
      </c>
      <c r="P140">
        <f t="shared" si="24"/>
        <v>2</v>
      </c>
    </row>
    <row r="141" spans="1:16" x14ac:dyDescent="0.3">
      <c r="A141" s="5" t="s">
        <v>129</v>
      </c>
      <c r="B141" s="5" t="s">
        <v>3</v>
      </c>
      <c r="C141" s="5" t="s">
        <v>227</v>
      </c>
      <c r="D141" s="5" t="s">
        <v>4</v>
      </c>
      <c r="E141" s="5" t="s">
        <v>220</v>
      </c>
      <c r="F141" s="5" t="s">
        <v>222</v>
      </c>
      <c r="G141" s="6">
        <v>45316</v>
      </c>
      <c r="H141" s="8">
        <v>580.70000000000005</v>
      </c>
      <c r="I141" s="7">
        <v>9</v>
      </c>
      <c r="J141" s="8">
        <v>5226.3</v>
      </c>
      <c r="K141" s="8">
        <f t="shared" si="20"/>
        <v>783.94500000000005</v>
      </c>
      <c r="L141" s="8">
        <v>5487.6149999999998</v>
      </c>
      <c r="M141" s="25">
        <f t="shared" si="21"/>
        <v>261.3149999999996</v>
      </c>
      <c r="N141" s="26">
        <f t="shared" si="25"/>
        <v>4.7619047619047471E-2</v>
      </c>
      <c r="O141" s="27">
        <f t="shared" si="23"/>
        <v>2024</v>
      </c>
      <c r="P141" s="27">
        <f t="shared" si="24"/>
        <v>2</v>
      </c>
    </row>
    <row r="142" spans="1:16" hidden="1" x14ac:dyDescent="0.3">
      <c r="A142" s="5" t="s">
        <v>118</v>
      </c>
      <c r="B142" s="5" t="s">
        <v>5</v>
      </c>
      <c r="C142" s="5" t="s">
        <v>228</v>
      </c>
      <c r="D142" s="5" t="s">
        <v>6</v>
      </c>
      <c r="E142" s="5" t="s">
        <v>219</v>
      </c>
      <c r="F142" s="5" t="s">
        <v>223</v>
      </c>
      <c r="G142" s="6">
        <v>45652</v>
      </c>
      <c r="H142" s="8">
        <v>230.7</v>
      </c>
      <c r="I142" s="7">
        <v>9</v>
      </c>
      <c r="J142" s="8">
        <v>2076.3000000000002</v>
      </c>
      <c r="K142" s="8">
        <f t="shared" si="20"/>
        <v>311.44499999999999</v>
      </c>
      <c r="L142" s="8">
        <v>2180.1150000000002</v>
      </c>
      <c r="M142" s="9">
        <f t="shared" si="21"/>
        <v>103.81500000000005</v>
      </c>
      <c r="N142" s="10">
        <f t="shared" si="25"/>
        <v>4.7619047619047471E-2</v>
      </c>
      <c r="O142">
        <f t="shared" si="23"/>
        <v>2024</v>
      </c>
      <c r="P142">
        <f t="shared" si="24"/>
        <v>1</v>
      </c>
    </row>
    <row r="143" spans="1:16" hidden="1" x14ac:dyDescent="0.3">
      <c r="A143" s="5" t="s">
        <v>120</v>
      </c>
      <c r="B143" s="5" t="s">
        <v>7</v>
      </c>
      <c r="C143" s="5" t="s">
        <v>229</v>
      </c>
      <c r="D143" s="5" t="s">
        <v>6</v>
      </c>
      <c r="E143" s="5" t="s">
        <v>219</v>
      </c>
      <c r="F143" s="5" t="s">
        <v>221</v>
      </c>
      <c r="G143" s="6">
        <v>45500</v>
      </c>
      <c r="H143" s="8">
        <v>303.5</v>
      </c>
      <c r="I143" s="7">
        <v>7</v>
      </c>
      <c r="J143" s="8">
        <v>2124.5</v>
      </c>
      <c r="K143" s="8">
        <f t="shared" si="20"/>
        <v>318.67500000000001</v>
      </c>
      <c r="L143" s="8">
        <v>2230.7249999999999</v>
      </c>
      <c r="M143" s="9">
        <f t="shared" si="21"/>
        <v>106.22499999999991</v>
      </c>
      <c r="N143" s="10">
        <f t="shared" si="25"/>
        <v>4.7619047619047471E-2</v>
      </c>
      <c r="O143">
        <f t="shared" si="23"/>
        <v>2024</v>
      </c>
      <c r="P143">
        <f t="shared" si="24"/>
        <v>1</v>
      </c>
    </row>
    <row r="144" spans="1:16" x14ac:dyDescent="0.3">
      <c r="A144" s="5" t="s">
        <v>29</v>
      </c>
      <c r="B144" s="5" t="s">
        <v>3</v>
      </c>
      <c r="C144" s="5" t="s">
        <v>227</v>
      </c>
      <c r="D144" s="5" t="s">
        <v>6</v>
      </c>
      <c r="E144" s="5" t="s">
        <v>219</v>
      </c>
      <c r="F144" s="5" t="s">
        <v>226</v>
      </c>
      <c r="G144" s="6">
        <v>45408</v>
      </c>
      <c r="H144" s="8">
        <v>431.9</v>
      </c>
      <c r="I144" s="7">
        <v>10</v>
      </c>
      <c r="J144" s="8">
        <v>4319</v>
      </c>
      <c r="K144" s="8">
        <f t="shared" ref="K144:K175" si="26">J144*$L$4</f>
        <v>647.85</v>
      </c>
      <c r="L144" s="8">
        <v>4534.95</v>
      </c>
      <c r="M144" s="25">
        <f t="shared" ref="M144:M175" si="27">L144-J144</f>
        <v>215.94999999999982</v>
      </c>
      <c r="N144" s="26">
        <f t="shared" si="25"/>
        <v>4.7619047619047471E-2</v>
      </c>
      <c r="O144" s="27">
        <f t="shared" ref="O144:O175" si="28">YEAR(G144)</f>
        <v>2024</v>
      </c>
      <c r="P144" s="27">
        <f t="shared" ref="P144:P175" si="29">IF(H144&lt;400,1,IF(H144&lt;900,2,3))</f>
        <v>2</v>
      </c>
    </row>
    <row r="145" spans="1:16" x14ac:dyDescent="0.3">
      <c r="A145" s="5" t="s">
        <v>41</v>
      </c>
      <c r="B145" s="5" t="s">
        <v>3</v>
      </c>
      <c r="C145" s="5" t="s">
        <v>227</v>
      </c>
      <c r="D145" s="5" t="s">
        <v>4</v>
      </c>
      <c r="E145" s="5" t="s">
        <v>220</v>
      </c>
      <c r="F145" s="5" t="s">
        <v>222</v>
      </c>
      <c r="G145" s="6">
        <v>45516</v>
      </c>
      <c r="H145" s="8">
        <v>525.90000000000009</v>
      </c>
      <c r="I145" s="7">
        <v>8</v>
      </c>
      <c r="J145" s="8">
        <v>4207.2000000000007</v>
      </c>
      <c r="K145" s="8">
        <f t="shared" si="26"/>
        <v>631.08000000000004</v>
      </c>
      <c r="L145" s="8">
        <v>4417.5599999999995</v>
      </c>
      <c r="M145" s="25">
        <f t="shared" si="27"/>
        <v>210.35999999999876</v>
      </c>
      <c r="N145" s="26">
        <f t="shared" si="25"/>
        <v>4.7619047619047471E-2</v>
      </c>
      <c r="O145" s="27">
        <f t="shared" si="28"/>
        <v>2024</v>
      </c>
      <c r="P145" s="27">
        <f t="shared" si="29"/>
        <v>2</v>
      </c>
    </row>
    <row r="146" spans="1:16" hidden="1" x14ac:dyDescent="0.3">
      <c r="A146" s="5" t="s">
        <v>167</v>
      </c>
      <c r="B146" s="5" t="s">
        <v>5</v>
      </c>
      <c r="C146" s="5" t="s">
        <v>228</v>
      </c>
      <c r="D146" s="5" t="s">
        <v>4</v>
      </c>
      <c r="E146" s="5" t="s">
        <v>219</v>
      </c>
      <c r="F146" s="5" t="s">
        <v>224</v>
      </c>
      <c r="G146" s="6">
        <v>45493</v>
      </c>
      <c r="H146" s="8">
        <v>345.6</v>
      </c>
      <c r="I146" s="7">
        <v>7</v>
      </c>
      <c r="J146" s="8">
        <v>2419.1999999999998</v>
      </c>
      <c r="K146" s="8">
        <f t="shared" si="26"/>
        <v>362.87999999999994</v>
      </c>
      <c r="L146" s="8">
        <v>2540.16</v>
      </c>
      <c r="M146" s="9">
        <f t="shared" si="27"/>
        <v>120.96000000000004</v>
      </c>
      <c r="N146" s="10">
        <f t="shared" si="25"/>
        <v>4.7619047619047471E-2</v>
      </c>
      <c r="O146">
        <f t="shared" si="28"/>
        <v>2024</v>
      </c>
      <c r="P146">
        <f t="shared" si="29"/>
        <v>1</v>
      </c>
    </row>
    <row r="147" spans="1:16" hidden="1" x14ac:dyDescent="0.3">
      <c r="A147" s="5" t="s">
        <v>195</v>
      </c>
      <c r="B147" s="5" t="s">
        <v>5</v>
      </c>
      <c r="C147" s="5" t="s">
        <v>228</v>
      </c>
      <c r="D147" s="5" t="s">
        <v>4</v>
      </c>
      <c r="E147" s="5" t="s">
        <v>219</v>
      </c>
      <c r="F147" s="5" t="s">
        <v>221</v>
      </c>
      <c r="G147" s="6">
        <v>45610</v>
      </c>
      <c r="H147" s="8">
        <v>868</v>
      </c>
      <c r="I147" s="7">
        <v>3</v>
      </c>
      <c r="J147" s="8">
        <v>2604</v>
      </c>
      <c r="K147" s="8">
        <f t="shared" si="26"/>
        <v>390.59999999999997</v>
      </c>
      <c r="L147" s="8">
        <v>2734.2000000000003</v>
      </c>
      <c r="M147" s="9">
        <f t="shared" si="27"/>
        <v>130.20000000000027</v>
      </c>
      <c r="N147" s="10">
        <f t="shared" si="25"/>
        <v>4.7619047619047471E-2</v>
      </c>
      <c r="O147">
        <f t="shared" si="28"/>
        <v>2024</v>
      </c>
      <c r="P147">
        <f t="shared" si="29"/>
        <v>2</v>
      </c>
    </row>
    <row r="148" spans="1:16" hidden="1" x14ac:dyDescent="0.3">
      <c r="A148" s="5" t="s">
        <v>163</v>
      </c>
      <c r="B148" s="5" t="s">
        <v>5</v>
      </c>
      <c r="C148" s="5" t="s">
        <v>228</v>
      </c>
      <c r="D148" s="5" t="s">
        <v>6</v>
      </c>
      <c r="E148" s="5" t="s">
        <v>219</v>
      </c>
      <c r="F148" s="5" t="s">
        <v>221</v>
      </c>
      <c r="G148" s="6">
        <v>45441</v>
      </c>
      <c r="H148" s="8">
        <v>661.4</v>
      </c>
      <c r="I148" s="7">
        <v>4</v>
      </c>
      <c r="J148" s="8">
        <v>2645.6</v>
      </c>
      <c r="K148" s="8">
        <f t="shared" si="26"/>
        <v>396.84</v>
      </c>
      <c r="L148" s="8">
        <v>2777.88</v>
      </c>
      <c r="M148" s="9">
        <f t="shared" si="27"/>
        <v>132.2800000000002</v>
      </c>
      <c r="N148" s="10">
        <f t="shared" si="25"/>
        <v>4.7619047619047471E-2</v>
      </c>
      <c r="O148">
        <f t="shared" si="28"/>
        <v>2024</v>
      </c>
      <c r="P148">
        <f t="shared" si="29"/>
        <v>2</v>
      </c>
    </row>
    <row r="149" spans="1:16" hidden="1" x14ac:dyDescent="0.3">
      <c r="A149" s="5" t="s">
        <v>151</v>
      </c>
      <c r="B149" s="5" t="s">
        <v>5</v>
      </c>
      <c r="C149" s="5" t="s">
        <v>228</v>
      </c>
      <c r="D149" s="5" t="s">
        <v>6</v>
      </c>
      <c r="E149" s="5" t="s">
        <v>219</v>
      </c>
      <c r="F149" s="5" t="s">
        <v>225</v>
      </c>
      <c r="G149" s="6">
        <v>45353</v>
      </c>
      <c r="H149" s="8">
        <v>902.2</v>
      </c>
      <c r="I149" s="7">
        <v>3</v>
      </c>
      <c r="J149" s="8">
        <v>2706.6000000000004</v>
      </c>
      <c r="K149" s="8">
        <f t="shared" si="26"/>
        <v>405.99000000000007</v>
      </c>
      <c r="L149" s="8">
        <v>2841.93</v>
      </c>
      <c r="M149" s="9">
        <f t="shared" si="27"/>
        <v>135.32999999999947</v>
      </c>
      <c r="N149" s="10">
        <f t="shared" si="25"/>
        <v>4.7619047619047471E-2</v>
      </c>
      <c r="O149">
        <f t="shared" si="28"/>
        <v>2024</v>
      </c>
      <c r="P149">
        <f t="shared" si="29"/>
        <v>3</v>
      </c>
    </row>
    <row r="150" spans="1:16" hidden="1" x14ac:dyDescent="0.3">
      <c r="A150" s="5" t="s">
        <v>199</v>
      </c>
      <c r="B150" s="5" t="s">
        <v>5</v>
      </c>
      <c r="C150" s="5" t="s">
        <v>228</v>
      </c>
      <c r="D150" s="5" t="s">
        <v>6</v>
      </c>
      <c r="E150" s="5" t="s">
        <v>220</v>
      </c>
      <c r="F150" s="5" t="s">
        <v>221</v>
      </c>
      <c r="G150" s="6">
        <v>45513</v>
      </c>
      <c r="H150" s="8">
        <v>343.1</v>
      </c>
      <c r="I150" s="7">
        <v>8</v>
      </c>
      <c r="J150" s="8">
        <v>2744.8</v>
      </c>
      <c r="K150" s="8">
        <f t="shared" si="26"/>
        <v>411.72</v>
      </c>
      <c r="L150" s="8">
        <v>2882.04</v>
      </c>
      <c r="M150" s="9">
        <f t="shared" si="27"/>
        <v>137.23999999999978</v>
      </c>
      <c r="N150" s="10">
        <f t="shared" si="25"/>
        <v>4.7619047619047471E-2</v>
      </c>
      <c r="O150">
        <f t="shared" si="28"/>
        <v>2024</v>
      </c>
      <c r="P150">
        <f t="shared" si="29"/>
        <v>1</v>
      </c>
    </row>
    <row r="151" spans="1:16" hidden="1" x14ac:dyDescent="0.3">
      <c r="A151" s="5" t="s">
        <v>161</v>
      </c>
      <c r="B151" s="5" t="s">
        <v>5</v>
      </c>
      <c r="C151" s="5" t="s">
        <v>228</v>
      </c>
      <c r="D151" s="5" t="s">
        <v>6</v>
      </c>
      <c r="E151" s="5" t="s">
        <v>220</v>
      </c>
      <c r="F151" s="5" t="s">
        <v>221</v>
      </c>
      <c r="G151" s="6">
        <v>45334</v>
      </c>
      <c r="H151" s="8">
        <v>462.59999999999997</v>
      </c>
      <c r="I151" s="7">
        <v>6</v>
      </c>
      <c r="J151" s="8">
        <v>2775.6</v>
      </c>
      <c r="K151" s="8">
        <f t="shared" si="26"/>
        <v>416.34</v>
      </c>
      <c r="L151" s="8">
        <v>2914.38</v>
      </c>
      <c r="M151" s="9">
        <f t="shared" si="27"/>
        <v>138.7800000000002</v>
      </c>
      <c r="N151" s="10">
        <f t="shared" si="25"/>
        <v>4.7619047619047471E-2</v>
      </c>
      <c r="O151">
        <f t="shared" si="28"/>
        <v>2024</v>
      </c>
      <c r="P151">
        <f t="shared" si="29"/>
        <v>2</v>
      </c>
    </row>
    <row r="152" spans="1:16" hidden="1" x14ac:dyDescent="0.3">
      <c r="A152" s="5" t="s">
        <v>127</v>
      </c>
      <c r="B152" s="5" t="s">
        <v>5</v>
      </c>
      <c r="C152" s="5" t="s">
        <v>228</v>
      </c>
      <c r="D152" s="5" t="s">
        <v>4</v>
      </c>
      <c r="E152" s="5" t="s">
        <v>220</v>
      </c>
      <c r="F152" s="5" t="s">
        <v>221</v>
      </c>
      <c r="G152" s="6">
        <v>45308</v>
      </c>
      <c r="H152" s="8">
        <v>982.09999999999991</v>
      </c>
      <c r="I152" s="7">
        <v>3</v>
      </c>
      <c r="J152" s="8">
        <v>2946.3</v>
      </c>
      <c r="K152" s="8">
        <f t="shared" si="26"/>
        <v>441.94499999999999</v>
      </c>
      <c r="L152" s="8">
        <v>3093.6149999999998</v>
      </c>
      <c r="M152" s="9">
        <f t="shared" si="27"/>
        <v>147.3149999999996</v>
      </c>
      <c r="N152" s="10">
        <f t="shared" si="25"/>
        <v>4.7619047619047471E-2</v>
      </c>
      <c r="O152">
        <f t="shared" si="28"/>
        <v>2024</v>
      </c>
      <c r="P152">
        <f t="shared" si="29"/>
        <v>3</v>
      </c>
    </row>
    <row r="153" spans="1:16" hidden="1" x14ac:dyDescent="0.3">
      <c r="A153" s="5" t="s">
        <v>99</v>
      </c>
      <c r="B153" s="5" t="s">
        <v>5</v>
      </c>
      <c r="C153" s="5" t="s">
        <v>228</v>
      </c>
      <c r="D153" s="5" t="s">
        <v>4</v>
      </c>
      <c r="E153" s="5" t="s">
        <v>220</v>
      </c>
      <c r="F153" s="5" t="s">
        <v>226</v>
      </c>
      <c r="G153" s="6">
        <v>45414</v>
      </c>
      <c r="H153" s="8">
        <v>803.6</v>
      </c>
      <c r="I153" s="7">
        <v>4</v>
      </c>
      <c r="J153" s="8">
        <v>3214.4</v>
      </c>
      <c r="K153" s="8">
        <f t="shared" si="26"/>
        <v>482.15999999999997</v>
      </c>
      <c r="L153" s="8">
        <v>3375.12</v>
      </c>
      <c r="M153" s="9">
        <f t="shared" si="27"/>
        <v>160.7199999999998</v>
      </c>
      <c r="N153" s="10">
        <f t="shared" si="25"/>
        <v>4.7619047619047471E-2</v>
      </c>
      <c r="O153">
        <f t="shared" si="28"/>
        <v>2024</v>
      </c>
      <c r="P153">
        <f t="shared" si="29"/>
        <v>2</v>
      </c>
    </row>
    <row r="154" spans="1:16" x14ac:dyDescent="0.3">
      <c r="A154" s="5" t="s">
        <v>22</v>
      </c>
      <c r="B154" s="5" t="s">
        <v>3</v>
      </c>
      <c r="C154" s="5" t="s">
        <v>227</v>
      </c>
      <c r="D154" s="5" t="s">
        <v>4</v>
      </c>
      <c r="E154" s="5" t="s">
        <v>220</v>
      </c>
      <c r="F154" s="5" t="s">
        <v>223</v>
      </c>
      <c r="G154" s="6">
        <v>45392</v>
      </c>
      <c r="H154" s="8">
        <v>688.40000000000009</v>
      </c>
      <c r="I154" s="7">
        <v>6</v>
      </c>
      <c r="J154" s="8">
        <v>4130.4000000000005</v>
      </c>
      <c r="K154" s="8">
        <f t="shared" si="26"/>
        <v>619.56000000000006</v>
      </c>
      <c r="L154" s="8">
        <v>4336.92</v>
      </c>
      <c r="M154" s="25">
        <f t="shared" si="27"/>
        <v>206.51999999999953</v>
      </c>
      <c r="N154" s="26">
        <f t="shared" si="25"/>
        <v>4.7619047619047471E-2</v>
      </c>
      <c r="O154" s="27">
        <f t="shared" si="28"/>
        <v>2024</v>
      </c>
      <c r="P154" s="27">
        <f t="shared" si="29"/>
        <v>2</v>
      </c>
    </row>
    <row r="155" spans="1:16" hidden="1" x14ac:dyDescent="0.3">
      <c r="A155" s="5" t="s">
        <v>77</v>
      </c>
      <c r="B155" s="5" t="s">
        <v>5</v>
      </c>
      <c r="C155" s="5" t="s">
        <v>228</v>
      </c>
      <c r="D155" s="5" t="s">
        <v>6</v>
      </c>
      <c r="E155" s="5" t="s">
        <v>220</v>
      </c>
      <c r="F155" s="5" t="s">
        <v>222</v>
      </c>
      <c r="G155" s="6">
        <v>45477</v>
      </c>
      <c r="H155" s="8">
        <v>557.29999999999995</v>
      </c>
      <c r="I155" s="7">
        <v>6</v>
      </c>
      <c r="J155" s="8">
        <v>3343.8</v>
      </c>
      <c r="K155" s="8">
        <f t="shared" si="26"/>
        <v>501.57</v>
      </c>
      <c r="L155" s="8">
        <v>3510.99</v>
      </c>
      <c r="M155" s="9">
        <f t="shared" si="27"/>
        <v>167.1899999999996</v>
      </c>
      <c r="N155" s="10">
        <f t="shared" si="25"/>
        <v>4.7619047619047471E-2</v>
      </c>
      <c r="O155">
        <f t="shared" si="28"/>
        <v>2024</v>
      </c>
      <c r="P155">
        <f t="shared" si="29"/>
        <v>2</v>
      </c>
    </row>
    <row r="156" spans="1:16" hidden="1" x14ac:dyDescent="0.3">
      <c r="A156" s="5" t="s">
        <v>181</v>
      </c>
      <c r="B156" s="5" t="s">
        <v>7</v>
      </c>
      <c r="C156" s="5" t="s">
        <v>229</v>
      </c>
      <c r="D156" s="5" t="s">
        <v>4</v>
      </c>
      <c r="E156" s="5" t="s">
        <v>219</v>
      </c>
      <c r="F156" s="5" t="s">
        <v>221</v>
      </c>
      <c r="G156" s="6">
        <v>45449</v>
      </c>
      <c r="H156" s="8">
        <v>425.7</v>
      </c>
      <c r="I156" s="7">
        <v>8</v>
      </c>
      <c r="J156" s="8">
        <v>3405.6</v>
      </c>
      <c r="K156" s="8">
        <f t="shared" si="26"/>
        <v>510.84</v>
      </c>
      <c r="L156" s="8">
        <v>3575.88</v>
      </c>
      <c r="M156" s="9">
        <f t="shared" si="27"/>
        <v>170.2800000000002</v>
      </c>
      <c r="N156" s="10">
        <f t="shared" si="25"/>
        <v>4.7619047619047471E-2</v>
      </c>
      <c r="O156">
        <f t="shared" si="28"/>
        <v>2024</v>
      </c>
      <c r="P156">
        <f t="shared" si="29"/>
        <v>2</v>
      </c>
    </row>
    <row r="157" spans="1:16" hidden="1" x14ac:dyDescent="0.3">
      <c r="A157" s="5" t="s">
        <v>176</v>
      </c>
      <c r="B157" s="5" t="s">
        <v>5</v>
      </c>
      <c r="C157" s="5" t="s">
        <v>228</v>
      </c>
      <c r="D157" s="5" t="s">
        <v>6</v>
      </c>
      <c r="E157" s="5" t="s">
        <v>220</v>
      </c>
      <c r="F157" s="5" t="s">
        <v>226</v>
      </c>
      <c r="G157" s="6">
        <v>45631</v>
      </c>
      <c r="H157" s="8">
        <v>431.8</v>
      </c>
      <c r="I157" s="7">
        <v>8</v>
      </c>
      <c r="J157" s="8">
        <v>3454.4</v>
      </c>
      <c r="K157" s="8">
        <f t="shared" si="26"/>
        <v>518.16</v>
      </c>
      <c r="L157" s="8">
        <v>3627.12</v>
      </c>
      <c r="M157" s="9">
        <f t="shared" si="27"/>
        <v>172.7199999999998</v>
      </c>
      <c r="N157" s="10">
        <f t="shared" si="25"/>
        <v>4.7619047619047471E-2</v>
      </c>
      <c r="O157">
        <f t="shared" si="28"/>
        <v>2024</v>
      </c>
      <c r="P157">
        <f t="shared" si="29"/>
        <v>2</v>
      </c>
    </row>
    <row r="158" spans="1:16" x14ac:dyDescent="0.3">
      <c r="A158" s="5" t="s">
        <v>123</v>
      </c>
      <c r="B158" s="5" t="s">
        <v>3</v>
      </c>
      <c r="C158" s="5" t="s">
        <v>227</v>
      </c>
      <c r="D158" s="5" t="s">
        <v>6</v>
      </c>
      <c r="E158" s="5" t="s">
        <v>219</v>
      </c>
      <c r="F158" s="5" t="s">
        <v>224</v>
      </c>
      <c r="G158" s="6">
        <v>45549</v>
      </c>
      <c r="H158" s="8">
        <v>621.30000000000007</v>
      </c>
      <c r="I158" s="7">
        <v>6</v>
      </c>
      <c r="J158" s="8">
        <v>3727.7999999999997</v>
      </c>
      <c r="K158" s="8">
        <f t="shared" si="26"/>
        <v>559.16999999999996</v>
      </c>
      <c r="L158" s="8">
        <v>3914.1899999999996</v>
      </c>
      <c r="M158" s="25">
        <f t="shared" si="27"/>
        <v>186.38999999999987</v>
      </c>
      <c r="N158" s="26">
        <f t="shared" si="25"/>
        <v>4.7619047619047471E-2</v>
      </c>
      <c r="O158" s="27">
        <f t="shared" si="28"/>
        <v>2024</v>
      </c>
      <c r="P158" s="27">
        <f t="shared" si="29"/>
        <v>2</v>
      </c>
    </row>
    <row r="159" spans="1:16" x14ac:dyDescent="0.3">
      <c r="A159" s="5" t="s">
        <v>119</v>
      </c>
      <c r="B159" s="5" t="s">
        <v>3</v>
      </c>
      <c r="C159" s="5" t="s">
        <v>227</v>
      </c>
      <c r="D159" s="5" t="s">
        <v>6</v>
      </c>
      <c r="E159" s="5" t="s">
        <v>220</v>
      </c>
      <c r="F159" s="5" t="s">
        <v>226</v>
      </c>
      <c r="G159" s="6">
        <v>45524</v>
      </c>
      <c r="H159" s="8">
        <v>582.6</v>
      </c>
      <c r="I159" s="7">
        <v>6</v>
      </c>
      <c r="J159" s="8">
        <v>3495.6</v>
      </c>
      <c r="K159" s="8">
        <f t="shared" si="26"/>
        <v>524.33999999999992</v>
      </c>
      <c r="L159" s="8">
        <v>3670.38</v>
      </c>
      <c r="M159" s="25">
        <f t="shared" si="27"/>
        <v>174.7800000000002</v>
      </c>
      <c r="N159" s="26">
        <f t="shared" si="25"/>
        <v>4.7619047619047471E-2</v>
      </c>
      <c r="O159" s="27">
        <f t="shared" si="28"/>
        <v>2024</v>
      </c>
      <c r="P159" s="27">
        <f t="shared" si="29"/>
        <v>2</v>
      </c>
    </row>
    <row r="160" spans="1:16" hidden="1" x14ac:dyDescent="0.3">
      <c r="A160" s="5" t="s">
        <v>61</v>
      </c>
      <c r="B160" s="5" t="s">
        <v>7</v>
      </c>
      <c r="C160" s="5" t="s">
        <v>229</v>
      </c>
      <c r="D160" s="5" t="s">
        <v>4</v>
      </c>
      <c r="E160" s="5" t="s">
        <v>219</v>
      </c>
      <c r="F160" s="5" t="s">
        <v>223</v>
      </c>
      <c r="G160" s="6">
        <v>45634</v>
      </c>
      <c r="H160" s="8">
        <v>939.59999999999991</v>
      </c>
      <c r="I160" s="7">
        <v>4</v>
      </c>
      <c r="J160" s="8">
        <v>3758.3999999999996</v>
      </c>
      <c r="K160" s="8">
        <f t="shared" si="26"/>
        <v>563.75999999999988</v>
      </c>
      <c r="L160" s="8">
        <v>3946.32</v>
      </c>
      <c r="M160" s="9">
        <f t="shared" si="27"/>
        <v>187.92000000000053</v>
      </c>
      <c r="N160" s="10">
        <f t="shared" si="25"/>
        <v>4.7619047619047471E-2</v>
      </c>
      <c r="O160">
        <f t="shared" si="28"/>
        <v>2024</v>
      </c>
      <c r="P160">
        <f t="shared" si="29"/>
        <v>3</v>
      </c>
    </row>
    <row r="161" spans="1:16" hidden="1" x14ac:dyDescent="0.3">
      <c r="A161" s="5" t="s">
        <v>50</v>
      </c>
      <c r="B161" s="5" t="s">
        <v>5</v>
      </c>
      <c r="C161" s="5" t="s">
        <v>228</v>
      </c>
      <c r="D161" s="5" t="s">
        <v>4</v>
      </c>
      <c r="E161" s="5" t="s">
        <v>220</v>
      </c>
      <c r="F161" s="5" t="s">
        <v>226</v>
      </c>
      <c r="G161" s="6">
        <v>45614</v>
      </c>
      <c r="H161" s="8">
        <v>994.2</v>
      </c>
      <c r="I161" s="7">
        <v>4</v>
      </c>
      <c r="J161" s="8">
        <v>3976.8</v>
      </c>
      <c r="K161" s="8">
        <f t="shared" si="26"/>
        <v>596.52</v>
      </c>
      <c r="L161" s="8">
        <v>4175.6400000000003</v>
      </c>
      <c r="M161" s="9">
        <f t="shared" si="27"/>
        <v>198.84000000000015</v>
      </c>
      <c r="N161" s="10">
        <f t="shared" si="25"/>
        <v>4.7619047619047471E-2</v>
      </c>
      <c r="O161">
        <f t="shared" si="28"/>
        <v>2024</v>
      </c>
      <c r="P161">
        <f t="shared" si="29"/>
        <v>3</v>
      </c>
    </row>
    <row r="162" spans="1:16" x14ac:dyDescent="0.3">
      <c r="A162" s="5" t="s">
        <v>18</v>
      </c>
      <c r="B162" s="5" t="s">
        <v>3</v>
      </c>
      <c r="C162" s="5" t="s">
        <v>227</v>
      </c>
      <c r="D162" s="5" t="s">
        <v>6</v>
      </c>
      <c r="E162" s="5" t="s">
        <v>219</v>
      </c>
      <c r="F162" s="5" t="s">
        <v>222</v>
      </c>
      <c r="G162" s="6">
        <v>45348</v>
      </c>
      <c r="H162" s="8">
        <v>463.29999999999995</v>
      </c>
      <c r="I162" s="7">
        <v>7</v>
      </c>
      <c r="J162" s="8">
        <v>3243.1</v>
      </c>
      <c r="K162" s="8">
        <f t="shared" si="26"/>
        <v>486.46499999999997</v>
      </c>
      <c r="L162" s="8">
        <v>3405.2550000000001</v>
      </c>
      <c r="M162" s="25">
        <f t="shared" si="27"/>
        <v>162.1550000000002</v>
      </c>
      <c r="N162" s="26">
        <f t="shared" si="25"/>
        <v>4.7619047619047471E-2</v>
      </c>
      <c r="O162" s="27">
        <f t="shared" si="28"/>
        <v>2024</v>
      </c>
      <c r="P162" s="27">
        <f t="shared" si="29"/>
        <v>2</v>
      </c>
    </row>
    <row r="163" spans="1:16" hidden="1" x14ac:dyDescent="0.3">
      <c r="A163" s="5" t="s">
        <v>58</v>
      </c>
      <c r="B163" s="5" t="s">
        <v>7</v>
      </c>
      <c r="C163" s="5" t="s">
        <v>229</v>
      </c>
      <c r="D163" s="5" t="s">
        <v>4</v>
      </c>
      <c r="E163" s="5" t="s">
        <v>219</v>
      </c>
      <c r="F163" s="5" t="s">
        <v>224</v>
      </c>
      <c r="G163" s="6">
        <v>45487</v>
      </c>
      <c r="H163" s="8">
        <v>691.2</v>
      </c>
      <c r="I163" s="7">
        <v>6</v>
      </c>
      <c r="J163" s="8">
        <v>4147.2000000000007</v>
      </c>
      <c r="K163" s="8">
        <f t="shared" si="26"/>
        <v>622.08000000000004</v>
      </c>
      <c r="L163" s="8">
        <v>4354.5600000000004</v>
      </c>
      <c r="M163" s="9">
        <f t="shared" si="27"/>
        <v>207.35999999999967</v>
      </c>
      <c r="N163" s="10">
        <f t="shared" si="25"/>
        <v>4.7619047619047471E-2</v>
      </c>
      <c r="O163">
        <f t="shared" si="28"/>
        <v>2024</v>
      </c>
      <c r="P163">
        <f t="shared" si="29"/>
        <v>2</v>
      </c>
    </row>
    <row r="164" spans="1:16" hidden="1" x14ac:dyDescent="0.3">
      <c r="A164" s="5" t="s">
        <v>91</v>
      </c>
      <c r="B164" s="5" t="s">
        <v>5</v>
      </c>
      <c r="C164" s="5" t="s">
        <v>228</v>
      </c>
      <c r="D164" s="5" t="s">
        <v>6</v>
      </c>
      <c r="E164" s="5" t="s">
        <v>219</v>
      </c>
      <c r="F164" s="5" t="s">
        <v>223</v>
      </c>
      <c r="G164" s="6">
        <v>45578</v>
      </c>
      <c r="H164" s="8">
        <v>416.5</v>
      </c>
      <c r="I164" s="7">
        <v>10</v>
      </c>
      <c r="J164" s="8">
        <v>4165</v>
      </c>
      <c r="K164" s="8">
        <f t="shared" si="26"/>
        <v>624.75</v>
      </c>
      <c r="L164" s="8">
        <v>4373.25</v>
      </c>
      <c r="M164" s="9">
        <f t="shared" si="27"/>
        <v>208.25</v>
      </c>
      <c r="N164" s="10">
        <f t="shared" si="25"/>
        <v>4.7619047619047471E-2</v>
      </c>
      <c r="O164">
        <f t="shared" si="28"/>
        <v>2024</v>
      </c>
      <c r="P164">
        <f t="shared" si="29"/>
        <v>2</v>
      </c>
    </row>
    <row r="165" spans="1:16" x14ac:dyDescent="0.3">
      <c r="A165" s="5" t="s">
        <v>45</v>
      </c>
      <c r="B165" s="5" t="s">
        <v>3</v>
      </c>
      <c r="C165" s="5" t="s">
        <v>227</v>
      </c>
      <c r="D165" s="5" t="s">
        <v>6</v>
      </c>
      <c r="E165" s="5" t="s">
        <v>219</v>
      </c>
      <c r="F165" s="5" t="s">
        <v>221</v>
      </c>
      <c r="G165" s="6">
        <v>45381</v>
      </c>
      <c r="H165" s="8">
        <v>248.9</v>
      </c>
      <c r="I165" s="7">
        <v>9</v>
      </c>
      <c r="J165" s="8">
        <v>2240.1</v>
      </c>
      <c r="K165" s="8">
        <f t="shared" si="26"/>
        <v>336.01499999999999</v>
      </c>
      <c r="L165" s="8">
        <v>2352.105</v>
      </c>
      <c r="M165" s="25">
        <f t="shared" si="27"/>
        <v>112.00500000000011</v>
      </c>
      <c r="N165" s="26">
        <f t="shared" si="25"/>
        <v>4.7619047619047471E-2</v>
      </c>
      <c r="O165" s="27">
        <f t="shared" si="28"/>
        <v>2024</v>
      </c>
      <c r="P165" s="27">
        <f t="shared" si="29"/>
        <v>1</v>
      </c>
    </row>
    <row r="166" spans="1:16" x14ac:dyDescent="0.3">
      <c r="A166" s="5" t="s">
        <v>67</v>
      </c>
      <c r="B166" s="5" t="s">
        <v>3</v>
      </c>
      <c r="C166" s="5" t="s">
        <v>227</v>
      </c>
      <c r="D166" s="5" t="s">
        <v>4</v>
      </c>
      <c r="E166" s="5" t="s">
        <v>220</v>
      </c>
      <c r="F166" s="5" t="s">
        <v>226</v>
      </c>
      <c r="G166" s="6">
        <v>45387</v>
      </c>
      <c r="H166" s="8">
        <v>445.90000000000003</v>
      </c>
      <c r="I166" s="7">
        <v>5</v>
      </c>
      <c r="J166" s="8">
        <v>2229.5</v>
      </c>
      <c r="K166" s="8">
        <f t="shared" si="26"/>
        <v>334.42500000000001</v>
      </c>
      <c r="L166" s="8">
        <v>2340.9749999999999</v>
      </c>
      <c r="M166" s="25">
        <f t="shared" si="27"/>
        <v>111.47499999999991</v>
      </c>
      <c r="N166" s="26">
        <f t="shared" si="25"/>
        <v>4.7619047619047471E-2</v>
      </c>
      <c r="O166" s="27">
        <f t="shared" si="28"/>
        <v>2024</v>
      </c>
      <c r="P166" s="27">
        <f t="shared" si="29"/>
        <v>2</v>
      </c>
    </row>
    <row r="167" spans="1:16" hidden="1" x14ac:dyDescent="0.3">
      <c r="A167" s="5" t="s">
        <v>140</v>
      </c>
      <c r="B167" s="5" t="s">
        <v>7</v>
      </c>
      <c r="C167" s="5" t="s">
        <v>229</v>
      </c>
      <c r="D167" s="5" t="s">
        <v>4</v>
      </c>
      <c r="E167" s="5" t="s">
        <v>219</v>
      </c>
      <c r="F167" s="5" t="s">
        <v>225</v>
      </c>
      <c r="G167" s="6">
        <v>45574</v>
      </c>
      <c r="H167" s="8">
        <v>564.70000000000005</v>
      </c>
      <c r="I167" s="7">
        <v>8</v>
      </c>
      <c r="J167" s="8">
        <v>4517.6000000000004</v>
      </c>
      <c r="K167" s="8">
        <f t="shared" si="26"/>
        <v>677.64</v>
      </c>
      <c r="L167" s="8">
        <v>4743.4800000000005</v>
      </c>
      <c r="M167" s="9">
        <f t="shared" si="27"/>
        <v>225.88000000000011</v>
      </c>
      <c r="N167" s="10">
        <f t="shared" si="25"/>
        <v>4.7619047619047471E-2</v>
      </c>
      <c r="O167">
        <f t="shared" si="28"/>
        <v>2024</v>
      </c>
      <c r="P167">
        <f t="shared" si="29"/>
        <v>2</v>
      </c>
    </row>
    <row r="168" spans="1:16" hidden="1" x14ac:dyDescent="0.3">
      <c r="A168" s="5" t="s">
        <v>89</v>
      </c>
      <c r="B168" s="5" t="s">
        <v>5</v>
      </c>
      <c r="C168" s="5" t="s">
        <v>228</v>
      </c>
      <c r="D168" s="5" t="s">
        <v>6</v>
      </c>
      <c r="E168" s="5" t="s">
        <v>219</v>
      </c>
      <c r="F168" s="5" t="s">
        <v>223</v>
      </c>
      <c r="G168" s="6">
        <v>45614</v>
      </c>
      <c r="H168" s="8">
        <v>759.09999999999991</v>
      </c>
      <c r="I168" s="7">
        <v>6</v>
      </c>
      <c r="J168" s="8">
        <v>4554.5999999999995</v>
      </c>
      <c r="K168" s="8">
        <f t="shared" si="26"/>
        <v>683.18999999999994</v>
      </c>
      <c r="L168" s="8">
        <v>4782.33</v>
      </c>
      <c r="M168" s="9">
        <f t="shared" si="27"/>
        <v>227.73000000000047</v>
      </c>
      <c r="N168" s="10">
        <f t="shared" si="25"/>
        <v>4.7619047619047471E-2</v>
      </c>
      <c r="O168">
        <f t="shared" si="28"/>
        <v>2024</v>
      </c>
      <c r="P168">
        <f t="shared" si="29"/>
        <v>2</v>
      </c>
    </row>
    <row r="169" spans="1:16" hidden="1" x14ac:dyDescent="0.3">
      <c r="A169" s="5" t="s">
        <v>46</v>
      </c>
      <c r="B169" s="5" t="s">
        <v>7</v>
      </c>
      <c r="C169" s="5" t="s">
        <v>229</v>
      </c>
      <c r="D169" s="5" t="s">
        <v>6</v>
      </c>
      <c r="E169" s="5" t="s">
        <v>219</v>
      </c>
      <c r="F169" s="5" t="s">
        <v>225</v>
      </c>
      <c r="G169" s="6">
        <v>45466</v>
      </c>
      <c r="H169" s="8">
        <v>941.3</v>
      </c>
      <c r="I169" s="7">
        <v>5</v>
      </c>
      <c r="J169" s="8">
        <v>4706.5</v>
      </c>
      <c r="K169" s="8">
        <f t="shared" si="26"/>
        <v>705.97500000000002</v>
      </c>
      <c r="L169" s="8">
        <v>4941.8249999999998</v>
      </c>
      <c r="M169" s="9">
        <f t="shared" si="27"/>
        <v>235.32499999999982</v>
      </c>
      <c r="N169" s="10">
        <f t="shared" si="25"/>
        <v>4.7619047619047471E-2</v>
      </c>
      <c r="O169">
        <f t="shared" si="28"/>
        <v>2024</v>
      </c>
      <c r="P169">
        <f t="shared" si="29"/>
        <v>3</v>
      </c>
    </row>
    <row r="170" spans="1:16" hidden="1" x14ac:dyDescent="0.3">
      <c r="A170" s="5" t="s">
        <v>78</v>
      </c>
      <c r="B170" s="5" t="s">
        <v>7</v>
      </c>
      <c r="C170" s="5" t="s">
        <v>229</v>
      </c>
      <c r="D170" s="5" t="s">
        <v>4</v>
      </c>
      <c r="E170" s="5" t="s">
        <v>219</v>
      </c>
      <c r="F170" s="5" t="s">
        <v>224</v>
      </c>
      <c r="G170" s="6">
        <v>45644</v>
      </c>
      <c r="H170" s="8">
        <v>550.70000000000005</v>
      </c>
      <c r="I170" s="7">
        <v>9</v>
      </c>
      <c r="J170" s="8">
        <v>4956.3</v>
      </c>
      <c r="K170" s="8">
        <f t="shared" si="26"/>
        <v>743.44500000000005</v>
      </c>
      <c r="L170" s="8">
        <v>5204.1150000000007</v>
      </c>
      <c r="M170" s="9">
        <f t="shared" si="27"/>
        <v>247.81500000000051</v>
      </c>
      <c r="N170" s="10">
        <f t="shared" si="25"/>
        <v>4.7619047619047471E-2</v>
      </c>
      <c r="O170">
        <f t="shared" si="28"/>
        <v>2024</v>
      </c>
      <c r="P170">
        <f t="shared" si="29"/>
        <v>2</v>
      </c>
    </row>
    <row r="171" spans="1:16" x14ac:dyDescent="0.3">
      <c r="A171" s="5" t="s">
        <v>153</v>
      </c>
      <c r="B171" s="5" t="s">
        <v>3</v>
      </c>
      <c r="C171" s="5" t="s">
        <v>227</v>
      </c>
      <c r="D171" s="5" t="s">
        <v>4</v>
      </c>
      <c r="E171" s="5" t="s">
        <v>220</v>
      </c>
      <c r="F171" s="5" t="s">
        <v>222</v>
      </c>
      <c r="G171" s="6">
        <v>45568</v>
      </c>
      <c r="H171" s="8">
        <v>344.20000000000005</v>
      </c>
      <c r="I171" s="7">
        <v>6</v>
      </c>
      <c r="J171" s="8">
        <v>2065.2000000000003</v>
      </c>
      <c r="K171" s="8">
        <f t="shared" si="26"/>
        <v>309.78000000000003</v>
      </c>
      <c r="L171" s="8">
        <v>2168.46</v>
      </c>
      <c r="M171" s="25">
        <f t="shared" si="27"/>
        <v>103.25999999999976</v>
      </c>
      <c r="N171" s="26">
        <f t="shared" ref="N171:N201" si="30">($L$8-$J$8)/$L$8</f>
        <v>4.7619047619047471E-2</v>
      </c>
      <c r="O171" s="27">
        <f t="shared" si="28"/>
        <v>2024</v>
      </c>
      <c r="P171" s="27">
        <f t="shared" si="29"/>
        <v>1</v>
      </c>
    </row>
    <row r="172" spans="1:16" x14ac:dyDescent="0.3">
      <c r="A172" s="5" t="s">
        <v>93</v>
      </c>
      <c r="B172" s="5" t="s">
        <v>3</v>
      </c>
      <c r="C172" s="5" t="s">
        <v>227</v>
      </c>
      <c r="D172" s="5" t="s">
        <v>4</v>
      </c>
      <c r="E172" s="5" t="s">
        <v>219</v>
      </c>
      <c r="F172" s="5" t="s">
        <v>225</v>
      </c>
      <c r="G172" s="6">
        <v>45420</v>
      </c>
      <c r="H172" s="8">
        <v>200.10000000000002</v>
      </c>
      <c r="I172" s="7">
        <v>9</v>
      </c>
      <c r="J172" s="8">
        <v>1800.9</v>
      </c>
      <c r="K172" s="8">
        <f t="shared" si="26"/>
        <v>270.13499999999999</v>
      </c>
      <c r="L172" s="8">
        <v>1890.9450000000002</v>
      </c>
      <c r="M172" s="25">
        <f t="shared" si="27"/>
        <v>90.045000000000073</v>
      </c>
      <c r="N172" s="26">
        <f t="shared" si="30"/>
        <v>4.7619047619047471E-2</v>
      </c>
      <c r="O172" s="27">
        <f t="shared" si="28"/>
        <v>2024</v>
      </c>
      <c r="P172" s="27">
        <f t="shared" si="29"/>
        <v>1</v>
      </c>
    </row>
    <row r="173" spans="1:16" hidden="1" x14ac:dyDescent="0.3">
      <c r="A173" s="5" t="s">
        <v>149</v>
      </c>
      <c r="B173" s="5" t="s">
        <v>7</v>
      </c>
      <c r="C173" s="5" t="s">
        <v>229</v>
      </c>
      <c r="D173" s="5" t="s">
        <v>4</v>
      </c>
      <c r="E173" s="5" t="s">
        <v>219</v>
      </c>
      <c r="F173" s="5" t="s">
        <v>223</v>
      </c>
      <c r="G173" s="6">
        <v>45576</v>
      </c>
      <c r="H173" s="8">
        <v>874.5</v>
      </c>
      <c r="I173" s="7">
        <v>6</v>
      </c>
      <c r="J173" s="8">
        <v>5247</v>
      </c>
      <c r="K173" s="8">
        <f t="shared" si="26"/>
        <v>787.05</v>
      </c>
      <c r="L173" s="8">
        <v>5509.3499999999995</v>
      </c>
      <c r="M173" s="9">
        <f t="shared" si="27"/>
        <v>262.34999999999945</v>
      </c>
      <c r="N173" s="10">
        <f t="shared" si="30"/>
        <v>4.7619047619047471E-2</v>
      </c>
      <c r="O173">
        <f t="shared" si="28"/>
        <v>2024</v>
      </c>
      <c r="P173">
        <f t="shared" si="29"/>
        <v>2</v>
      </c>
    </row>
    <row r="174" spans="1:16" x14ac:dyDescent="0.3">
      <c r="A174" s="5" t="s">
        <v>34</v>
      </c>
      <c r="B174" s="5" t="s">
        <v>3</v>
      </c>
      <c r="C174" s="5" t="s">
        <v>227</v>
      </c>
      <c r="D174" s="5" t="s">
        <v>6</v>
      </c>
      <c r="E174" s="5" t="s">
        <v>220</v>
      </c>
      <c r="F174" s="5" t="s">
        <v>226</v>
      </c>
      <c r="G174" s="6">
        <v>45629</v>
      </c>
      <c r="H174" s="8">
        <v>546.70000000000005</v>
      </c>
      <c r="I174" s="7">
        <v>3</v>
      </c>
      <c r="J174" s="8">
        <v>1640.1</v>
      </c>
      <c r="K174" s="8">
        <f t="shared" si="26"/>
        <v>246.01499999999999</v>
      </c>
      <c r="L174" s="8">
        <v>1722.105</v>
      </c>
      <c r="M174" s="25">
        <f t="shared" si="27"/>
        <v>82.005000000000109</v>
      </c>
      <c r="N174" s="26">
        <f t="shared" si="30"/>
        <v>4.7619047619047471E-2</v>
      </c>
      <c r="O174" s="27">
        <f t="shared" si="28"/>
        <v>2024</v>
      </c>
      <c r="P174" s="27">
        <f t="shared" si="29"/>
        <v>2</v>
      </c>
    </row>
    <row r="175" spans="1:16" hidden="1" x14ac:dyDescent="0.3">
      <c r="A175" s="5" t="s">
        <v>175</v>
      </c>
      <c r="B175" s="5" t="s">
        <v>7</v>
      </c>
      <c r="C175" s="5" t="s">
        <v>229</v>
      </c>
      <c r="D175" s="5" t="s">
        <v>6</v>
      </c>
      <c r="E175" s="5" t="s">
        <v>219</v>
      </c>
      <c r="F175" s="5" t="s">
        <v>224</v>
      </c>
      <c r="G175" s="6">
        <v>45528</v>
      </c>
      <c r="H175" s="8">
        <v>933.9</v>
      </c>
      <c r="I175" s="7">
        <v>6</v>
      </c>
      <c r="J175" s="8">
        <v>5603.4000000000005</v>
      </c>
      <c r="K175" s="8">
        <f t="shared" si="26"/>
        <v>840.5100000000001</v>
      </c>
      <c r="L175" s="8">
        <v>5883.57</v>
      </c>
      <c r="M175" s="9">
        <f t="shared" si="27"/>
        <v>280.16999999999916</v>
      </c>
      <c r="N175" s="10">
        <f t="shared" si="30"/>
        <v>4.7619047619047471E-2</v>
      </c>
      <c r="O175">
        <f t="shared" si="28"/>
        <v>2024</v>
      </c>
      <c r="P175">
        <f t="shared" si="29"/>
        <v>3</v>
      </c>
    </row>
    <row r="176" spans="1:16" x14ac:dyDescent="0.3">
      <c r="A176" s="5" t="s">
        <v>210</v>
      </c>
      <c r="B176" s="5" t="s">
        <v>3</v>
      </c>
      <c r="C176" s="5" t="s">
        <v>227</v>
      </c>
      <c r="D176" s="5" t="s">
        <v>6</v>
      </c>
      <c r="E176" s="5" t="s">
        <v>219</v>
      </c>
      <c r="F176" s="5" t="s">
        <v>223</v>
      </c>
      <c r="G176" s="6">
        <v>45331</v>
      </c>
      <c r="H176" s="8">
        <v>327.10000000000002</v>
      </c>
      <c r="I176" s="7">
        <v>5</v>
      </c>
      <c r="J176" s="8">
        <v>1635.5</v>
      </c>
      <c r="K176" s="8">
        <f t="shared" ref="K176:K201" si="31">J176*$L$4</f>
        <v>245.32499999999999</v>
      </c>
      <c r="L176" s="8">
        <v>1717.2749999999999</v>
      </c>
      <c r="M176" s="25">
        <f t="shared" ref="M176:M201" si="32">L176-J176</f>
        <v>81.774999999999864</v>
      </c>
      <c r="N176" s="26">
        <f t="shared" si="30"/>
        <v>4.7619047619047471E-2</v>
      </c>
      <c r="O176" s="27">
        <f t="shared" ref="O176:O201" si="33">YEAR(G176)</f>
        <v>2024</v>
      </c>
      <c r="P176" s="27">
        <f t="shared" ref="P176:P201" si="34">IF(H176&lt;400,1,IF(H176&lt;900,2,3))</f>
        <v>1</v>
      </c>
    </row>
    <row r="177" spans="1:16" hidden="1" x14ac:dyDescent="0.3">
      <c r="A177" s="5" t="s">
        <v>101</v>
      </c>
      <c r="B177" s="5" t="s">
        <v>5</v>
      </c>
      <c r="C177" s="5" t="s">
        <v>228</v>
      </c>
      <c r="D177" s="5" t="s">
        <v>6</v>
      </c>
      <c r="E177" s="5" t="s">
        <v>219</v>
      </c>
      <c r="F177" s="5" t="s">
        <v>224</v>
      </c>
      <c r="G177" s="6">
        <v>45419</v>
      </c>
      <c r="H177" s="8">
        <v>830.6</v>
      </c>
      <c r="I177" s="7">
        <v>7</v>
      </c>
      <c r="J177" s="8">
        <v>5814.2</v>
      </c>
      <c r="K177" s="8">
        <f t="shared" si="31"/>
        <v>872.13</v>
      </c>
      <c r="L177" s="8">
        <v>6104.91</v>
      </c>
      <c r="M177" s="9">
        <f t="shared" si="32"/>
        <v>290.71000000000004</v>
      </c>
      <c r="N177" s="10">
        <f t="shared" si="30"/>
        <v>4.7619047619047471E-2</v>
      </c>
      <c r="O177">
        <f t="shared" si="33"/>
        <v>2024</v>
      </c>
      <c r="P177">
        <f t="shared" si="34"/>
        <v>2</v>
      </c>
    </row>
    <row r="178" spans="1:16" hidden="1" x14ac:dyDescent="0.3">
      <c r="A178" s="5" t="s">
        <v>21</v>
      </c>
      <c r="B178" s="5" t="s">
        <v>5</v>
      </c>
      <c r="C178" s="5" t="s">
        <v>228</v>
      </c>
      <c r="D178" s="5" t="s">
        <v>6</v>
      </c>
      <c r="E178" s="5" t="s">
        <v>219</v>
      </c>
      <c r="F178" s="5" t="s">
        <v>223</v>
      </c>
      <c r="G178" s="6">
        <v>45360</v>
      </c>
      <c r="H178" s="8">
        <v>853.9</v>
      </c>
      <c r="I178" s="7">
        <v>7</v>
      </c>
      <c r="J178" s="8">
        <v>5977.3</v>
      </c>
      <c r="K178" s="8">
        <f t="shared" si="31"/>
        <v>896.59500000000003</v>
      </c>
      <c r="L178" s="8">
        <v>6276.165</v>
      </c>
      <c r="M178" s="9">
        <f t="shared" si="32"/>
        <v>298.86499999999978</v>
      </c>
      <c r="N178" s="10">
        <f t="shared" si="30"/>
        <v>4.7619047619047471E-2</v>
      </c>
      <c r="O178">
        <f t="shared" si="33"/>
        <v>2024</v>
      </c>
      <c r="P178">
        <f t="shared" si="34"/>
        <v>2</v>
      </c>
    </row>
    <row r="179" spans="1:16" hidden="1" x14ac:dyDescent="0.3">
      <c r="A179" s="5" t="s">
        <v>87</v>
      </c>
      <c r="B179" s="5" t="s">
        <v>5</v>
      </c>
      <c r="C179" s="5" t="s">
        <v>228</v>
      </c>
      <c r="D179" s="5" t="s">
        <v>6</v>
      </c>
      <c r="E179" s="5" t="s">
        <v>219</v>
      </c>
      <c r="F179" s="5" t="s">
        <v>225</v>
      </c>
      <c r="G179" s="6">
        <v>45386</v>
      </c>
      <c r="H179" s="8">
        <v>621.19999999999993</v>
      </c>
      <c r="I179" s="7">
        <v>10</v>
      </c>
      <c r="J179" s="8">
        <v>6212</v>
      </c>
      <c r="K179" s="8">
        <f t="shared" si="31"/>
        <v>931.8</v>
      </c>
      <c r="L179" s="8">
        <v>6522.6</v>
      </c>
      <c r="M179" s="9">
        <f t="shared" si="32"/>
        <v>310.60000000000036</v>
      </c>
      <c r="N179" s="10">
        <f t="shared" si="30"/>
        <v>4.7619047619047471E-2</v>
      </c>
      <c r="O179">
        <f t="shared" si="33"/>
        <v>2024</v>
      </c>
      <c r="P179">
        <f t="shared" si="34"/>
        <v>2</v>
      </c>
    </row>
    <row r="180" spans="1:16" hidden="1" x14ac:dyDescent="0.3">
      <c r="A180" s="5" t="s">
        <v>66</v>
      </c>
      <c r="B180" s="5" t="s">
        <v>5</v>
      </c>
      <c r="C180" s="5" t="s">
        <v>228</v>
      </c>
      <c r="D180" s="5" t="s">
        <v>4</v>
      </c>
      <c r="E180" s="5" t="s">
        <v>220</v>
      </c>
      <c r="F180" s="5" t="s">
        <v>226</v>
      </c>
      <c r="G180" s="6">
        <v>45374</v>
      </c>
      <c r="H180" s="8">
        <v>914</v>
      </c>
      <c r="I180" s="7">
        <v>7</v>
      </c>
      <c r="J180" s="8">
        <v>6398</v>
      </c>
      <c r="K180" s="8">
        <f t="shared" si="31"/>
        <v>959.69999999999993</v>
      </c>
      <c r="L180" s="8">
        <v>6717.9</v>
      </c>
      <c r="M180" s="9">
        <f t="shared" si="32"/>
        <v>319.89999999999964</v>
      </c>
      <c r="N180" s="10">
        <f t="shared" si="30"/>
        <v>4.7619047619047471E-2</v>
      </c>
      <c r="O180">
        <f t="shared" si="33"/>
        <v>2024</v>
      </c>
      <c r="P180">
        <f t="shared" si="34"/>
        <v>3</v>
      </c>
    </row>
    <row r="181" spans="1:16" hidden="1" x14ac:dyDescent="0.3">
      <c r="A181" s="5" t="s">
        <v>170</v>
      </c>
      <c r="B181" s="5" t="s">
        <v>5</v>
      </c>
      <c r="C181" s="5" t="s">
        <v>228</v>
      </c>
      <c r="D181" s="5" t="s">
        <v>6</v>
      </c>
      <c r="E181" s="5" t="s">
        <v>219</v>
      </c>
      <c r="F181" s="5" t="s">
        <v>224</v>
      </c>
      <c r="G181" s="6">
        <v>45297</v>
      </c>
      <c r="H181" s="8">
        <v>809.7</v>
      </c>
      <c r="I181" s="7">
        <v>8</v>
      </c>
      <c r="J181" s="8">
        <v>6477.6</v>
      </c>
      <c r="K181" s="8">
        <f t="shared" si="31"/>
        <v>971.64</v>
      </c>
      <c r="L181" s="8">
        <v>6801.4800000000005</v>
      </c>
      <c r="M181" s="9">
        <f t="shared" si="32"/>
        <v>323.88000000000011</v>
      </c>
      <c r="N181" s="10">
        <f t="shared" si="30"/>
        <v>4.7619047619047471E-2</v>
      </c>
      <c r="O181">
        <f t="shared" si="33"/>
        <v>2024</v>
      </c>
      <c r="P181">
        <f t="shared" si="34"/>
        <v>2</v>
      </c>
    </row>
    <row r="182" spans="1:16" x14ac:dyDescent="0.3">
      <c r="A182" s="5" t="s">
        <v>79</v>
      </c>
      <c r="B182" s="5" t="s">
        <v>3</v>
      </c>
      <c r="C182" s="5" t="s">
        <v>227</v>
      </c>
      <c r="D182" s="5" t="s">
        <v>4</v>
      </c>
      <c r="E182" s="5" t="s">
        <v>219</v>
      </c>
      <c r="F182" s="5" t="s">
        <v>224</v>
      </c>
      <c r="G182" s="6">
        <v>45349</v>
      </c>
      <c r="H182" s="8">
        <v>158.1</v>
      </c>
      <c r="I182" s="7">
        <v>10</v>
      </c>
      <c r="J182" s="8">
        <v>1581</v>
      </c>
      <c r="K182" s="8">
        <f t="shared" si="31"/>
        <v>237.14999999999998</v>
      </c>
      <c r="L182" s="8">
        <v>1660.05</v>
      </c>
      <c r="M182" s="25">
        <f t="shared" si="32"/>
        <v>79.049999999999955</v>
      </c>
      <c r="N182" s="26">
        <f t="shared" si="30"/>
        <v>4.7619047619047471E-2</v>
      </c>
      <c r="O182" s="27">
        <f t="shared" si="33"/>
        <v>2024</v>
      </c>
      <c r="P182" s="27">
        <f t="shared" si="34"/>
        <v>1</v>
      </c>
    </row>
    <row r="183" spans="1:16" hidden="1" x14ac:dyDescent="0.3">
      <c r="A183" s="5" t="s">
        <v>47</v>
      </c>
      <c r="B183" s="5" t="s">
        <v>7</v>
      </c>
      <c r="C183" s="5" t="s">
        <v>229</v>
      </c>
      <c r="D183" s="5" t="s">
        <v>4</v>
      </c>
      <c r="E183" s="5" t="s">
        <v>219</v>
      </c>
      <c r="F183" s="5" t="s">
        <v>224</v>
      </c>
      <c r="G183" s="6">
        <v>45320</v>
      </c>
      <c r="H183" s="8">
        <v>780.69999999999993</v>
      </c>
      <c r="I183" s="7">
        <v>9</v>
      </c>
      <c r="J183" s="8">
        <v>7026.3</v>
      </c>
      <c r="K183" s="8">
        <f t="shared" si="31"/>
        <v>1053.9449999999999</v>
      </c>
      <c r="L183" s="8">
        <v>7377.6149999999998</v>
      </c>
      <c r="M183" s="9">
        <f t="shared" si="32"/>
        <v>351.3149999999996</v>
      </c>
      <c r="N183" s="10">
        <f t="shared" si="30"/>
        <v>4.7619047619047471E-2</v>
      </c>
      <c r="O183">
        <f t="shared" si="33"/>
        <v>2024</v>
      </c>
      <c r="P183">
        <f t="shared" si="34"/>
        <v>2</v>
      </c>
    </row>
    <row r="184" spans="1:16" x14ac:dyDescent="0.3">
      <c r="A184" s="5" t="s">
        <v>198</v>
      </c>
      <c r="B184" s="5" t="s">
        <v>3</v>
      </c>
      <c r="C184" s="5" t="s">
        <v>227</v>
      </c>
      <c r="D184" s="5" t="s">
        <v>4</v>
      </c>
      <c r="E184" s="5" t="s">
        <v>219</v>
      </c>
      <c r="F184" s="5" t="s">
        <v>224</v>
      </c>
      <c r="G184" s="6">
        <v>45620</v>
      </c>
      <c r="H184" s="8">
        <v>155</v>
      </c>
      <c r="I184" s="7">
        <v>10</v>
      </c>
      <c r="J184" s="8">
        <v>1550</v>
      </c>
      <c r="K184" s="8">
        <f t="shared" si="31"/>
        <v>232.5</v>
      </c>
      <c r="L184" s="8">
        <v>1627.5</v>
      </c>
      <c r="M184" s="25">
        <f t="shared" si="32"/>
        <v>77.5</v>
      </c>
      <c r="N184" s="26">
        <f t="shared" si="30"/>
        <v>4.7619047619047471E-2</v>
      </c>
      <c r="O184" s="27">
        <f t="shared" si="33"/>
        <v>2024</v>
      </c>
      <c r="P184" s="27">
        <f t="shared" si="34"/>
        <v>1</v>
      </c>
    </row>
    <row r="185" spans="1:16" x14ac:dyDescent="0.3">
      <c r="A185" s="5" t="s">
        <v>24</v>
      </c>
      <c r="B185" s="5" t="s">
        <v>3</v>
      </c>
      <c r="C185" s="5" t="s">
        <v>227</v>
      </c>
      <c r="D185" s="5" t="s">
        <v>4</v>
      </c>
      <c r="E185" s="5" t="s">
        <v>220</v>
      </c>
      <c r="F185" s="5" t="s">
        <v>221</v>
      </c>
      <c r="G185" s="6">
        <v>45427</v>
      </c>
      <c r="H185" s="8">
        <v>362.59999999999997</v>
      </c>
      <c r="I185" s="7">
        <v>2</v>
      </c>
      <c r="J185" s="8">
        <v>725.19999999999993</v>
      </c>
      <c r="K185" s="8">
        <f t="shared" si="31"/>
        <v>108.77999999999999</v>
      </c>
      <c r="L185" s="8">
        <v>761.46</v>
      </c>
      <c r="M185" s="25">
        <f t="shared" si="32"/>
        <v>36.260000000000105</v>
      </c>
      <c r="N185" s="26">
        <f t="shared" si="30"/>
        <v>4.7619047619047471E-2</v>
      </c>
      <c r="O185" s="27">
        <f t="shared" si="33"/>
        <v>2024</v>
      </c>
      <c r="P185" s="27">
        <f t="shared" si="34"/>
        <v>1</v>
      </c>
    </row>
    <row r="186" spans="1:16" hidden="1" x14ac:dyDescent="0.3">
      <c r="A186" s="5" t="s">
        <v>130</v>
      </c>
      <c r="B186" s="5" t="s">
        <v>5</v>
      </c>
      <c r="C186" s="5" t="s">
        <v>228</v>
      </c>
      <c r="D186" s="5" t="s">
        <v>4</v>
      </c>
      <c r="E186" s="5" t="s">
        <v>220</v>
      </c>
      <c r="F186" s="5" t="s">
        <v>222</v>
      </c>
      <c r="G186" s="6">
        <v>45601</v>
      </c>
      <c r="H186" s="8">
        <v>807.90000000000009</v>
      </c>
      <c r="I186" s="7">
        <v>9</v>
      </c>
      <c r="J186" s="8">
        <v>7271.1</v>
      </c>
      <c r="K186" s="8">
        <f t="shared" si="31"/>
        <v>1090.665</v>
      </c>
      <c r="L186" s="8">
        <v>7634.6550000000007</v>
      </c>
      <c r="M186" s="9">
        <f t="shared" si="32"/>
        <v>363.55500000000029</v>
      </c>
      <c r="N186" s="10">
        <f t="shared" si="30"/>
        <v>4.7619047619047471E-2</v>
      </c>
      <c r="O186">
        <f t="shared" si="33"/>
        <v>2024</v>
      </c>
      <c r="P186">
        <f t="shared" si="34"/>
        <v>2</v>
      </c>
    </row>
    <row r="187" spans="1:16" x14ac:dyDescent="0.3">
      <c r="A187" s="5" t="s">
        <v>177</v>
      </c>
      <c r="B187" s="5" t="s">
        <v>3</v>
      </c>
      <c r="C187" s="5" t="s">
        <v>227</v>
      </c>
      <c r="D187" s="5" t="s">
        <v>6</v>
      </c>
      <c r="E187" s="5" t="s">
        <v>219</v>
      </c>
      <c r="F187" s="5" t="s">
        <v>224</v>
      </c>
      <c r="G187" s="6">
        <v>45472</v>
      </c>
      <c r="H187" s="8">
        <v>636.9</v>
      </c>
      <c r="I187" s="7">
        <v>1</v>
      </c>
      <c r="J187" s="8">
        <v>636.9</v>
      </c>
      <c r="K187" s="8">
        <f t="shared" si="31"/>
        <v>95.534999999999997</v>
      </c>
      <c r="L187" s="8">
        <v>668.745</v>
      </c>
      <c r="M187" s="25">
        <f t="shared" si="32"/>
        <v>31.845000000000027</v>
      </c>
      <c r="N187" s="26">
        <f t="shared" si="30"/>
        <v>4.7619047619047471E-2</v>
      </c>
      <c r="O187" s="27">
        <f t="shared" si="33"/>
        <v>2024</v>
      </c>
      <c r="P187" s="27">
        <f t="shared" si="34"/>
        <v>2</v>
      </c>
    </row>
    <row r="188" spans="1:16" hidden="1" x14ac:dyDescent="0.3">
      <c r="A188" s="5" t="s">
        <v>208</v>
      </c>
      <c r="B188" s="5" t="s">
        <v>5</v>
      </c>
      <c r="C188" s="5" t="s">
        <v>228</v>
      </c>
      <c r="D188" s="5" t="s">
        <v>6</v>
      </c>
      <c r="E188" s="5" t="s">
        <v>220</v>
      </c>
      <c r="F188" s="5" t="s">
        <v>226</v>
      </c>
      <c r="G188" s="6">
        <v>45615</v>
      </c>
      <c r="H188" s="8">
        <v>878</v>
      </c>
      <c r="I188" s="7">
        <v>9</v>
      </c>
      <c r="J188" s="8">
        <v>7902</v>
      </c>
      <c r="K188" s="8">
        <f t="shared" si="31"/>
        <v>1185.3</v>
      </c>
      <c r="L188" s="8">
        <v>8297.1</v>
      </c>
      <c r="M188" s="9">
        <f t="shared" si="32"/>
        <v>395.10000000000036</v>
      </c>
      <c r="N188" s="10">
        <f t="shared" si="30"/>
        <v>4.7619047619047471E-2</v>
      </c>
      <c r="O188">
        <f t="shared" si="33"/>
        <v>2024</v>
      </c>
      <c r="P188">
        <f t="shared" si="34"/>
        <v>2</v>
      </c>
    </row>
    <row r="189" spans="1:16" x14ac:dyDescent="0.3">
      <c r="A189" s="5" t="s">
        <v>213</v>
      </c>
      <c r="B189" s="5" t="s">
        <v>3</v>
      </c>
      <c r="C189" s="5" t="s">
        <v>227</v>
      </c>
      <c r="D189" s="5" t="s">
        <v>6</v>
      </c>
      <c r="E189" s="5" t="s">
        <v>220</v>
      </c>
      <c r="F189" s="5" t="s">
        <v>222</v>
      </c>
      <c r="G189" s="6">
        <v>45467</v>
      </c>
      <c r="H189" s="8">
        <v>252.89999999999998</v>
      </c>
      <c r="I189" s="7">
        <v>1</v>
      </c>
      <c r="J189" s="8">
        <v>252.89999999999998</v>
      </c>
      <c r="K189" s="8">
        <f t="shared" si="31"/>
        <v>37.934999999999995</v>
      </c>
      <c r="L189" s="8">
        <v>265.54500000000002</v>
      </c>
      <c r="M189" s="25">
        <f t="shared" si="32"/>
        <v>12.645000000000039</v>
      </c>
      <c r="N189" s="26">
        <f t="shared" si="30"/>
        <v>4.7619047619047471E-2</v>
      </c>
      <c r="O189" s="27">
        <f t="shared" si="33"/>
        <v>2024</v>
      </c>
      <c r="P189" s="27">
        <f t="shared" si="34"/>
        <v>1</v>
      </c>
    </row>
    <row r="190" spans="1:16" hidden="1" x14ac:dyDescent="0.3">
      <c r="A190" s="5" t="s">
        <v>145</v>
      </c>
      <c r="B190" s="5" t="s">
        <v>7</v>
      </c>
      <c r="C190" s="5" t="s">
        <v>229</v>
      </c>
      <c r="D190" s="5" t="s">
        <v>6</v>
      </c>
      <c r="E190" s="5" t="s">
        <v>219</v>
      </c>
      <c r="F190" s="5" t="s">
        <v>224</v>
      </c>
      <c r="G190" s="6">
        <v>45542</v>
      </c>
      <c r="H190" s="8">
        <v>902.8</v>
      </c>
      <c r="I190" s="7">
        <v>9</v>
      </c>
      <c r="J190" s="8">
        <v>8125.2</v>
      </c>
      <c r="K190" s="8">
        <f t="shared" si="31"/>
        <v>1218.78</v>
      </c>
      <c r="L190" s="8">
        <v>8531.4599999999991</v>
      </c>
      <c r="M190" s="9">
        <f t="shared" si="32"/>
        <v>406.25999999999931</v>
      </c>
      <c r="N190" s="10">
        <f t="shared" si="30"/>
        <v>4.7619047619047471E-2</v>
      </c>
      <c r="O190">
        <f t="shared" si="33"/>
        <v>2024</v>
      </c>
      <c r="P190">
        <f t="shared" si="34"/>
        <v>3</v>
      </c>
    </row>
    <row r="191" spans="1:16" hidden="1" x14ac:dyDescent="0.3">
      <c r="A191" s="5" t="s">
        <v>125</v>
      </c>
      <c r="B191" s="5" t="s">
        <v>5</v>
      </c>
      <c r="C191" s="5" t="s">
        <v>228</v>
      </c>
      <c r="D191" s="5" t="s">
        <v>4</v>
      </c>
      <c r="E191" s="5" t="s">
        <v>219</v>
      </c>
      <c r="F191" s="5" t="s">
        <v>223</v>
      </c>
      <c r="G191" s="6">
        <v>45497</v>
      </c>
      <c r="H191" s="8">
        <v>819.7</v>
      </c>
      <c r="I191" s="7">
        <v>10</v>
      </c>
      <c r="J191" s="8">
        <v>8197</v>
      </c>
      <c r="K191" s="8">
        <f t="shared" si="31"/>
        <v>1229.55</v>
      </c>
      <c r="L191" s="8">
        <v>8606.8499999999985</v>
      </c>
      <c r="M191" s="9">
        <f t="shared" si="32"/>
        <v>409.84999999999854</v>
      </c>
      <c r="N191" s="10">
        <f t="shared" si="30"/>
        <v>4.7619047619047471E-2</v>
      </c>
      <c r="O191">
        <f t="shared" si="33"/>
        <v>2024</v>
      </c>
      <c r="P191">
        <f t="shared" si="34"/>
        <v>2</v>
      </c>
    </row>
    <row r="192" spans="1:16" hidden="1" x14ac:dyDescent="0.3">
      <c r="A192" s="5" t="s">
        <v>65</v>
      </c>
      <c r="B192" s="5" t="s">
        <v>5</v>
      </c>
      <c r="C192" s="5" t="s">
        <v>228</v>
      </c>
      <c r="D192" s="5" t="s">
        <v>4</v>
      </c>
      <c r="E192" s="5" t="s">
        <v>219</v>
      </c>
      <c r="F192" s="5" t="s">
        <v>225</v>
      </c>
      <c r="G192" s="6">
        <v>45623</v>
      </c>
      <c r="H192" s="8">
        <v>826.3</v>
      </c>
      <c r="I192" s="7">
        <v>10</v>
      </c>
      <c r="J192" s="8">
        <v>8263</v>
      </c>
      <c r="K192" s="8">
        <f t="shared" si="31"/>
        <v>1239.45</v>
      </c>
      <c r="L192" s="8">
        <v>8676.15</v>
      </c>
      <c r="M192" s="9">
        <f t="shared" si="32"/>
        <v>413.14999999999964</v>
      </c>
      <c r="N192" s="10">
        <f t="shared" si="30"/>
        <v>4.7619047619047471E-2</v>
      </c>
      <c r="O192">
        <f t="shared" si="33"/>
        <v>2024</v>
      </c>
      <c r="P192">
        <f t="shared" si="34"/>
        <v>2</v>
      </c>
    </row>
    <row r="193" spans="1:16" hidden="1" x14ac:dyDescent="0.3">
      <c r="A193" s="5" t="s">
        <v>174</v>
      </c>
      <c r="B193" s="5" t="s">
        <v>7</v>
      </c>
      <c r="C193" s="5" t="s">
        <v>229</v>
      </c>
      <c r="D193" s="5" t="s">
        <v>4</v>
      </c>
      <c r="E193" s="5" t="s">
        <v>219</v>
      </c>
      <c r="F193" s="5" t="s">
        <v>221</v>
      </c>
      <c r="G193" s="6">
        <v>45418</v>
      </c>
      <c r="H193" s="8">
        <v>972.2</v>
      </c>
      <c r="I193" s="7">
        <v>9</v>
      </c>
      <c r="J193" s="8">
        <v>8749.7999999999993</v>
      </c>
      <c r="K193" s="8">
        <f t="shared" si="31"/>
        <v>1312.4699999999998</v>
      </c>
      <c r="L193" s="8">
        <v>9187.2900000000009</v>
      </c>
      <c r="M193" s="9">
        <f t="shared" si="32"/>
        <v>437.4900000000016</v>
      </c>
      <c r="N193" s="10">
        <f t="shared" si="30"/>
        <v>4.7619047619047471E-2</v>
      </c>
      <c r="O193">
        <f t="shared" si="33"/>
        <v>2024</v>
      </c>
      <c r="P193">
        <f t="shared" si="34"/>
        <v>3</v>
      </c>
    </row>
    <row r="194" spans="1:16" hidden="1" x14ac:dyDescent="0.3">
      <c r="A194" s="5" t="s">
        <v>156</v>
      </c>
      <c r="B194" s="5" t="s">
        <v>5</v>
      </c>
      <c r="C194" s="5" t="s">
        <v>228</v>
      </c>
      <c r="D194" s="5" t="s">
        <v>4</v>
      </c>
      <c r="E194" s="5" t="s">
        <v>219</v>
      </c>
      <c r="F194" s="5" t="s">
        <v>224</v>
      </c>
      <c r="G194" s="6">
        <v>45302</v>
      </c>
      <c r="H194" s="8">
        <v>898</v>
      </c>
      <c r="I194" s="7">
        <v>10</v>
      </c>
      <c r="J194" s="8">
        <v>8980</v>
      </c>
      <c r="K194" s="8">
        <f t="shared" si="31"/>
        <v>1347</v>
      </c>
      <c r="L194" s="8">
        <v>9429</v>
      </c>
      <c r="M194" s="9">
        <f t="shared" si="32"/>
        <v>449</v>
      </c>
      <c r="N194" s="10">
        <f t="shared" si="30"/>
        <v>4.7619047619047471E-2</v>
      </c>
      <c r="O194">
        <f t="shared" si="33"/>
        <v>2024</v>
      </c>
      <c r="P194">
        <f t="shared" si="34"/>
        <v>2</v>
      </c>
    </row>
    <row r="195" spans="1:16" hidden="1" x14ac:dyDescent="0.3">
      <c r="A195" s="5" t="s">
        <v>138</v>
      </c>
      <c r="B195" s="5" t="s">
        <v>7</v>
      </c>
      <c r="C195" s="5" t="s">
        <v>229</v>
      </c>
      <c r="D195" s="5" t="s">
        <v>4</v>
      </c>
      <c r="E195" s="5" t="s">
        <v>219</v>
      </c>
      <c r="F195" s="5" t="s">
        <v>224</v>
      </c>
      <c r="G195" s="6">
        <v>45307</v>
      </c>
      <c r="H195" s="8">
        <v>999.59999999999991</v>
      </c>
      <c r="I195" s="7">
        <v>9</v>
      </c>
      <c r="J195" s="8">
        <v>8996.4</v>
      </c>
      <c r="K195" s="8">
        <f t="shared" si="31"/>
        <v>1349.4599999999998</v>
      </c>
      <c r="L195" s="8">
        <v>9446.2199999999993</v>
      </c>
      <c r="M195" s="9">
        <f t="shared" si="32"/>
        <v>449.81999999999971</v>
      </c>
      <c r="N195" s="10">
        <f t="shared" si="30"/>
        <v>4.7619047619047471E-2</v>
      </c>
      <c r="O195">
        <f t="shared" si="33"/>
        <v>2024</v>
      </c>
      <c r="P195">
        <f t="shared" si="34"/>
        <v>3</v>
      </c>
    </row>
    <row r="196" spans="1:16" hidden="1" x14ac:dyDescent="0.3">
      <c r="A196" s="5" t="s">
        <v>157</v>
      </c>
      <c r="B196" s="5" t="s">
        <v>5</v>
      </c>
      <c r="C196" s="5" t="s">
        <v>228</v>
      </c>
      <c r="D196" s="5" t="s">
        <v>4</v>
      </c>
      <c r="E196" s="5" t="s">
        <v>219</v>
      </c>
      <c r="F196" s="5" t="s">
        <v>221</v>
      </c>
      <c r="G196" s="6">
        <v>45352</v>
      </c>
      <c r="H196" s="8">
        <v>905</v>
      </c>
      <c r="I196" s="7">
        <v>10</v>
      </c>
      <c r="J196" s="8">
        <v>9050</v>
      </c>
      <c r="K196" s="8">
        <f t="shared" si="31"/>
        <v>1357.5</v>
      </c>
      <c r="L196" s="8">
        <v>9502.5</v>
      </c>
      <c r="M196" s="9">
        <f t="shared" si="32"/>
        <v>452.5</v>
      </c>
      <c r="N196" s="10">
        <f t="shared" si="30"/>
        <v>4.7619047619047471E-2</v>
      </c>
      <c r="O196">
        <f t="shared" si="33"/>
        <v>2024</v>
      </c>
      <c r="P196">
        <f t="shared" si="34"/>
        <v>3</v>
      </c>
    </row>
    <row r="197" spans="1:16" x14ac:dyDescent="0.3">
      <c r="A197" s="5" t="s">
        <v>85</v>
      </c>
      <c r="B197" s="5" t="s">
        <v>3</v>
      </c>
      <c r="C197" s="5" t="s">
        <v>227</v>
      </c>
      <c r="D197" s="5" t="s">
        <v>4</v>
      </c>
      <c r="E197" s="5" t="s">
        <v>220</v>
      </c>
      <c r="F197" s="5" t="s">
        <v>221</v>
      </c>
      <c r="G197" s="6">
        <v>45515</v>
      </c>
      <c r="H197" s="8">
        <v>183.29999999999998</v>
      </c>
      <c r="I197" s="7">
        <v>1</v>
      </c>
      <c r="J197" s="8">
        <v>183.29999999999998</v>
      </c>
      <c r="K197" s="8">
        <f t="shared" si="31"/>
        <v>27.494999999999997</v>
      </c>
      <c r="L197" s="8">
        <v>192.465</v>
      </c>
      <c r="M197" s="25">
        <f t="shared" si="32"/>
        <v>9.1650000000000205</v>
      </c>
      <c r="N197" s="26">
        <f t="shared" si="30"/>
        <v>4.7619047619047471E-2</v>
      </c>
      <c r="O197" s="27">
        <f t="shared" si="33"/>
        <v>2024</v>
      </c>
      <c r="P197" s="27">
        <f t="shared" si="34"/>
        <v>1</v>
      </c>
    </row>
    <row r="198" spans="1:16" x14ac:dyDescent="0.3">
      <c r="A198" s="5" t="s">
        <v>49</v>
      </c>
      <c r="B198" s="5" t="s">
        <v>3</v>
      </c>
      <c r="C198" s="5" t="s">
        <v>227</v>
      </c>
      <c r="D198" s="5" t="s">
        <v>6</v>
      </c>
      <c r="E198" s="5" t="s">
        <v>220</v>
      </c>
      <c r="F198" s="5" t="s">
        <v>221</v>
      </c>
      <c r="G198" s="6">
        <v>45714</v>
      </c>
      <c r="H198" s="8">
        <v>965.8</v>
      </c>
      <c r="I198" s="7">
        <v>2</v>
      </c>
      <c r="J198" s="8">
        <v>1931.6</v>
      </c>
      <c r="K198" s="8">
        <f t="shared" si="31"/>
        <v>289.73999999999995</v>
      </c>
      <c r="L198" s="8">
        <v>2028.18</v>
      </c>
      <c r="M198" s="25">
        <f t="shared" si="32"/>
        <v>96.580000000000155</v>
      </c>
      <c r="N198" s="26">
        <f t="shared" si="30"/>
        <v>4.7619047619047471E-2</v>
      </c>
      <c r="O198" s="27">
        <f t="shared" si="33"/>
        <v>2025</v>
      </c>
      <c r="P198" s="27">
        <f t="shared" si="34"/>
        <v>3</v>
      </c>
    </row>
    <row r="199" spans="1:16" x14ac:dyDescent="0.3">
      <c r="A199" s="5" t="s">
        <v>192</v>
      </c>
      <c r="B199" s="5" t="s">
        <v>3</v>
      </c>
      <c r="C199" s="5" t="s">
        <v>227</v>
      </c>
      <c r="D199" s="5" t="s">
        <v>4</v>
      </c>
      <c r="E199" s="5" t="s">
        <v>220</v>
      </c>
      <c r="F199" s="5" t="s">
        <v>226</v>
      </c>
      <c r="G199" s="6">
        <v>45694</v>
      </c>
      <c r="H199" s="8">
        <v>221.70000000000002</v>
      </c>
      <c r="I199" s="7">
        <v>8</v>
      </c>
      <c r="J199" s="8">
        <v>1773.6000000000001</v>
      </c>
      <c r="K199" s="8">
        <f t="shared" si="31"/>
        <v>266.04000000000002</v>
      </c>
      <c r="L199" s="8">
        <v>1862.2800000000002</v>
      </c>
      <c r="M199" s="25">
        <f t="shared" si="32"/>
        <v>88.680000000000064</v>
      </c>
      <c r="N199" s="26">
        <f t="shared" si="30"/>
        <v>4.7619047619047471E-2</v>
      </c>
      <c r="O199" s="27">
        <f t="shared" si="33"/>
        <v>2025</v>
      </c>
      <c r="P199" s="27">
        <f t="shared" si="34"/>
        <v>1</v>
      </c>
    </row>
    <row r="200" spans="1:16" hidden="1" x14ac:dyDescent="0.3">
      <c r="A200" s="5" t="s">
        <v>106</v>
      </c>
      <c r="B200" s="5" t="s">
        <v>5</v>
      </c>
      <c r="C200" s="5" t="s">
        <v>228</v>
      </c>
      <c r="D200" s="5" t="s">
        <v>4</v>
      </c>
      <c r="E200" s="5" t="s">
        <v>220</v>
      </c>
      <c r="F200" s="5" t="s">
        <v>222</v>
      </c>
      <c r="G200" s="6">
        <v>45736</v>
      </c>
      <c r="H200" s="8">
        <v>473.8</v>
      </c>
      <c r="I200" s="7">
        <v>4</v>
      </c>
      <c r="J200" s="8">
        <v>1895.2</v>
      </c>
      <c r="K200" s="8">
        <f t="shared" si="31"/>
        <v>284.27999999999997</v>
      </c>
      <c r="L200" s="8">
        <v>1989.96</v>
      </c>
      <c r="M200" s="9">
        <f t="shared" si="32"/>
        <v>94.759999999999991</v>
      </c>
      <c r="N200" s="10">
        <f t="shared" si="30"/>
        <v>4.7619047619047471E-2</v>
      </c>
      <c r="O200">
        <f t="shared" si="33"/>
        <v>2025</v>
      </c>
      <c r="P200">
        <f t="shared" si="34"/>
        <v>2</v>
      </c>
    </row>
    <row r="201" spans="1:16" x14ac:dyDescent="0.3">
      <c r="A201" s="5" t="s">
        <v>114</v>
      </c>
      <c r="B201" s="5" t="s">
        <v>3</v>
      </c>
      <c r="C201" s="5" t="s">
        <v>227</v>
      </c>
      <c r="D201" s="5" t="s">
        <v>6</v>
      </c>
      <c r="E201" s="5" t="s">
        <v>220</v>
      </c>
      <c r="F201" s="5" t="s">
        <v>226</v>
      </c>
      <c r="G201" s="6">
        <v>45714</v>
      </c>
      <c r="H201" s="8">
        <v>527.5</v>
      </c>
      <c r="I201" s="7">
        <v>3</v>
      </c>
      <c r="J201" s="8">
        <v>1582.5</v>
      </c>
      <c r="K201" s="8">
        <f t="shared" si="31"/>
        <v>237.375</v>
      </c>
      <c r="L201" s="8">
        <v>1661.625</v>
      </c>
      <c r="M201" s="25">
        <f t="shared" si="32"/>
        <v>79.125</v>
      </c>
      <c r="N201" s="26">
        <f t="shared" si="30"/>
        <v>4.7619047619047471E-2</v>
      </c>
      <c r="O201" s="27">
        <f t="shared" si="33"/>
        <v>2025</v>
      </c>
      <c r="P201" s="27">
        <f t="shared" si="34"/>
        <v>2</v>
      </c>
    </row>
    <row r="202" spans="1:16" hidden="1" x14ac:dyDescent="0.3">
      <c r="A202" s="5" t="s">
        <v>143</v>
      </c>
      <c r="B202" s="5" t="s">
        <v>5</v>
      </c>
      <c r="C202" s="5" t="s">
        <v>228</v>
      </c>
      <c r="D202" s="5" t="s">
        <v>6</v>
      </c>
      <c r="E202" s="5" t="s">
        <v>219</v>
      </c>
      <c r="F202" s="5" t="s">
        <v>225</v>
      </c>
      <c r="G202" s="6">
        <v>45666</v>
      </c>
      <c r="H202" s="8">
        <v>317.3</v>
      </c>
      <c r="I202" s="7">
        <v>9</v>
      </c>
      <c r="J202" s="8">
        <v>2855.7</v>
      </c>
      <c r="K202" s="8">
        <f t="shared" ref="K202:K207" si="35">J202*$L$4</f>
        <v>428.35499999999996</v>
      </c>
      <c r="L202" s="8">
        <v>2998.4850000000001</v>
      </c>
      <c r="M202" s="9">
        <f t="shared" ref="M202:M207" si="36">L202-J202</f>
        <v>142.78500000000031</v>
      </c>
      <c r="N202" s="10">
        <f t="shared" ref="N202:N207" si="37">($L$8-$J$8)/$L$8</f>
        <v>4.7619047619047471E-2</v>
      </c>
      <c r="O202">
        <f t="shared" ref="O202:O207" si="38">YEAR(G202)</f>
        <v>2025</v>
      </c>
      <c r="P202">
        <f t="shared" ref="P202:P207" si="39">IF(H202&lt;400,1,IF(H202&lt;900,2,3))</f>
        <v>1</v>
      </c>
    </row>
    <row r="203" spans="1:16" hidden="1" x14ac:dyDescent="0.3">
      <c r="A203" s="5" t="s">
        <v>166</v>
      </c>
      <c r="B203" s="5" t="s">
        <v>7</v>
      </c>
      <c r="C203" s="5" t="s">
        <v>229</v>
      </c>
      <c r="D203" s="5" t="s">
        <v>4</v>
      </c>
      <c r="E203" s="5" t="s">
        <v>219</v>
      </c>
      <c r="F203" s="5" t="s">
        <v>225</v>
      </c>
      <c r="G203" s="6">
        <v>45710</v>
      </c>
      <c r="H203" s="8">
        <v>915.40000000000009</v>
      </c>
      <c r="I203" s="7">
        <v>4</v>
      </c>
      <c r="J203" s="8">
        <v>3661.6000000000004</v>
      </c>
      <c r="K203" s="8">
        <f t="shared" si="35"/>
        <v>549.24</v>
      </c>
      <c r="L203" s="8">
        <v>3844.6800000000003</v>
      </c>
      <c r="M203" s="9">
        <f t="shared" si="36"/>
        <v>183.07999999999993</v>
      </c>
      <c r="N203" s="10">
        <f t="shared" si="37"/>
        <v>4.7619047619047471E-2</v>
      </c>
      <c r="O203">
        <f t="shared" si="38"/>
        <v>2025</v>
      </c>
      <c r="P203">
        <f t="shared" si="39"/>
        <v>3</v>
      </c>
    </row>
    <row r="204" spans="1:16" hidden="1" x14ac:dyDescent="0.3">
      <c r="A204" s="5" t="s">
        <v>137</v>
      </c>
      <c r="B204" s="5" t="s">
        <v>5</v>
      </c>
      <c r="C204" s="5" t="s">
        <v>228</v>
      </c>
      <c r="D204" s="5" t="s">
        <v>4</v>
      </c>
      <c r="E204" s="5" t="s">
        <v>219</v>
      </c>
      <c r="F204" s="5" t="s">
        <v>224</v>
      </c>
      <c r="G204" s="6">
        <v>45711</v>
      </c>
      <c r="H204" s="8">
        <v>571.19999999999993</v>
      </c>
      <c r="I204" s="7">
        <v>7</v>
      </c>
      <c r="J204" s="8">
        <v>3998.3999999999996</v>
      </c>
      <c r="K204" s="8">
        <f t="shared" si="35"/>
        <v>599.75999999999988</v>
      </c>
      <c r="L204" s="8">
        <v>4198.32</v>
      </c>
      <c r="M204" s="9">
        <f t="shared" si="36"/>
        <v>199.92000000000007</v>
      </c>
      <c r="N204" s="10">
        <f t="shared" si="37"/>
        <v>4.7619047619047471E-2</v>
      </c>
      <c r="O204">
        <f t="shared" si="38"/>
        <v>2025</v>
      </c>
      <c r="P204">
        <f t="shared" si="39"/>
        <v>2</v>
      </c>
    </row>
    <row r="205" spans="1:16" hidden="1" x14ac:dyDescent="0.3">
      <c r="A205" s="5" t="s">
        <v>158</v>
      </c>
      <c r="B205" s="5" t="s">
        <v>5</v>
      </c>
      <c r="C205" s="5" t="s">
        <v>228</v>
      </c>
      <c r="D205" s="5" t="s">
        <v>4</v>
      </c>
      <c r="E205" s="5" t="s">
        <v>220</v>
      </c>
      <c r="F205" s="5" t="s">
        <v>221</v>
      </c>
      <c r="G205" s="6">
        <v>45704</v>
      </c>
      <c r="H205" s="8">
        <v>686</v>
      </c>
      <c r="I205" s="7">
        <v>10</v>
      </c>
      <c r="J205" s="8">
        <v>6860</v>
      </c>
      <c r="K205" s="8">
        <f t="shared" si="35"/>
        <v>1029</v>
      </c>
      <c r="L205" s="8">
        <v>7203</v>
      </c>
      <c r="M205" s="9">
        <f t="shared" si="36"/>
        <v>343</v>
      </c>
      <c r="N205" s="10">
        <f t="shared" si="37"/>
        <v>4.7619047619047471E-2</v>
      </c>
      <c r="O205">
        <f t="shared" si="38"/>
        <v>2025</v>
      </c>
      <c r="P205">
        <f t="shared" si="39"/>
        <v>2</v>
      </c>
    </row>
    <row r="206" spans="1:16" hidden="1" x14ac:dyDescent="0.3">
      <c r="A206" s="5" t="s">
        <v>202</v>
      </c>
      <c r="B206" s="5" t="s">
        <v>7</v>
      </c>
      <c r="C206" s="5" t="s">
        <v>229</v>
      </c>
      <c r="D206" s="5" t="s">
        <v>4</v>
      </c>
      <c r="E206" s="5" t="s">
        <v>220</v>
      </c>
      <c r="F206" s="5" t="s">
        <v>222</v>
      </c>
      <c r="G206" s="6">
        <v>45716</v>
      </c>
      <c r="H206" s="8">
        <v>944.9</v>
      </c>
      <c r="I206" s="7">
        <v>8</v>
      </c>
      <c r="J206" s="8">
        <v>7559.2</v>
      </c>
      <c r="K206" s="8">
        <f t="shared" si="35"/>
        <v>1133.8799999999999</v>
      </c>
      <c r="L206" s="8">
        <v>7937.16</v>
      </c>
      <c r="M206" s="9">
        <f t="shared" si="36"/>
        <v>377.96000000000004</v>
      </c>
      <c r="N206" s="10">
        <f t="shared" si="37"/>
        <v>4.7619047619047471E-2</v>
      </c>
      <c r="O206">
        <f t="shared" si="38"/>
        <v>2025</v>
      </c>
      <c r="P206">
        <f t="shared" si="39"/>
        <v>3</v>
      </c>
    </row>
    <row r="207" spans="1:16" hidden="1" x14ac:dyDescent="0.3">
      <c r="A207" s="5" t="s">
        <v>59</v>
      </c>
      <c r="B207" s="5" t="s">
        <v>5</v>
      </c>
      <c r="C207" s="5" t="s">
        <v>228</v>
      </c>
      <c r="D207" s="5" t="s">
        <v>4</v>
      </c>
      <c r="E207" s="5" t="s">
        <v>220</v>
      </c>
      <c r="F207" s="5" t="s">
        <v>226</v>
      </c>
      <c r="G207" s="6">
        <v>45715</v>
      </c>
      <c r="H207" s="8">
        <v>987</v>
      </c>
      <c r="I207" s="7">
        <v>8</v>
      </c>
      <c r="J207" s="8">
        <v>7896</v>
      </c>
      <c r="K207" s="8">
        <f t="shared" si="35"/>
        <v>1184.3999999999999</v>
      </c>
      <c r="L207" s="8">
        <v>8290.8000000000011</v>
      </c>
      <c r="M207" s="9">
        <f t="shared" si="36"/>
        <v>394.80000000000109</v>
      </c>
      <c r="N207" s="10">
        <f t="shared" si="37"/>
        <v>4.7619047619047471E-2</v>
      </c>
      <c r="O207">
        <f t="shared" si="38"/>
        <v>2025</v>
      </c>
      <c r="P207">
        <f t="shared" si="39"/>
        <v>3</v>
      </c>
    </row>
    <row r="208" spans="1:16" x14ac:dyDescent="0.3">
      <c r="E208" s="3"/>
      <c r="N208" s="4"/>
    </row>
    <row r="209" spans="5:5" x14ac:dyDescent="0.3">
      <c r="E209" s="3"/>
    </row>
  </sheetData>
  <autoFilter ref="A7:P207" xr:uid="{00000000-0001-0000-0000-000000000000}">
    <filterColumn colId="2">
      <filters>
        <filter val="Greymouth"/>
      </filters>
    </filterColumn>
  </autoFilter>
  <sortState xmlns:xlrd2="http://schemas.microsoft.com/office/spreadsheetml/2017/richdata2" ref="A16:P201">
    <sortCondition ref="O8:O201"/>
    <sortCondition descending="1" ref="L8:L201"/>
  </sortState>
  <mergeCells count="1">
    <mergeCell ref="A4:I4"/>
  </mergeCells>
  <phoneticPr fontId="18" type="noConversion"/>
  <conditionalFormatting sqref="L8:L207">
    <cfRule type="cellIs" dxfId="0" priority="1" operator="lessThan">
      <formula>1000</formula>
    </cfRule>
  </conditionalFormatting>
  <pageMargins left="0.75" right="0.75" top="1" bottom="1" header="0.5" footer="0.5"/>
  <pageSetup orientation="portrait" r:id="rId1"/>
  <headerFooter>
    <oddFooter>&amp;C_x000D_&amp;1#&amp;"Calibri"&amp;7&amp;K000000 In-Confidence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A2DB5-7239-438B-AFB3-DFC81A7EBC58}">
  <dimension ref="A3:E11"/>
  <sheetViews>
    <sheetView workbookViewId="0">
      <selection activeCell="F5" sqref="F5"/>
    </sheetView>
  </sheetViews>
  <sheetFormatPr defaultRowHeight="15.6" x14ac:dyDescent="0.3"/>
  <cols>
    <col min="1" max="1" width="16.296875" bestFit="1" customWidth="1"/>
    <col min="2" max="2" width="15.296875" bestFit="1" customWidth="1"/>
    <col min="3" max="5" width="13" bestFit="1" customWidth="1"/>
    <col min="6" max="8" width="10.8984375" bestFit="1" customWidth="1"/>
    <col min="9" max="12" width="16.296875" bestFit="1" customWidth="1"/>
    <col min="13" max="13" width="21.296875" bestFit="1" customWidth="1"/>
    <col min="14" max="14" width="19.5" bestFit="1" customWidth="1"/>
    <col min="15" max="199" width="15.19921875" bestFit="1" customWidth="1"/>
    <col min="200" max="200" width="10.8984375" bestFit="1" customWidth="1"/>
  </cols>
  <sheetData>
    <row r="3" spans="1:5" x14ac:dyDescent="0.3">
      <c r="A3" s="19" t="s">
        <v>239</v>
      </c>
      <c r="B3" s="19" t="s">
        <v>236</v>
      </c>
    </row>
    <row r="4" spans="1:5" x14ac:dyDescent="0.3">
      <c r="A4" s="19" t="s">
        <v>238</v>
      </c>
      <c r="B4" t="s">
        <v>3</v>
      </c>
      <c r="C4" t="s">
        <v>7</v>
      </c>
      <c r="D4" t="s">
        <v>5</v>
      </c>
      <c r="E4" t="s">
        <v>237</v>
      </c>
    </row>
    <row r="5" spans="1:5" x14ac:dyDescent="0.3">
      <c r="A5" s="2" t="s">
        <v>225</v>
      </c>
      <c r="B5" s="9">
        <v>25155.794999999998</v>
      </c>
      <c r="C5" s="9">
        <v>32890.934999999998</v>
      </c>
      <c r="D5" s="9">
        <v>47520.9</v>
      </c>
      <c r="E5" s="9">
        <v>105567.63</v>
      </c>
    </row>
    <row r="6" spans="1:5" x14ac:dyDescent="0.3">
      <c r="A6" s="2" t="s">
        <v>221</v>
      </c>
      <c r="B6" s="9">
        <v>43870.574999999997</v>
      </c>
      <c r="C6" s="9">
        <v>46462.289999999994</v>
      </c>
      <c r="D6" s="9">
        <v>52790.429999999993</v>
      </c>
      <c r="E6" s="9">
        <v>143123.29499999998</v>
      </c>
    </row>
    <row r="7" spans="1:5" x14ac:dyDescent="0.3">
      <c r="A7" s="2" t="s">
        <v>224</v>
      </c>
      <c r="B7" s="9">
        <v>54804.435000000005</v>
      </c>
      <c r="C7" s="9">
        <v>60999.54</v>
      </c>
      <c r="D7" s="9">
        <v>39450.915000000001</v>
      </c>
      <c r="E7" s="9">
        <v>155254.89000000001</v>
      </c>
    </row>
    <row r="8" spans="1:5" x14ac:dyDescent="0.3">
      <c r="A8" s="2" t="s">
        <v>223</v>
      </c>
      <c r="B8" s="9">
        <v>36161.475000000006</v>
      </c>
      <c r="C8" s="9">
        <v>15809.535</v>
      </c>
      <c r="D8" s="9">
        <v>43224.509999999995</v>
      </c>
      <c r="E8" s="9">
        <v>95195.520000000004</v>
      </c>
    </row>
    <row r="9" spans="1:5" x14ac:dyDescent="0.3">
      <c r="A9" s="2" t="s">
        <v>226</v>
      </c>
      <c r="B9" s="9">
        <v>36668.415000000001</v>
      </c>
      <c r="C9" s="9">
        <v>23455.11</v>
      </c>
      <c r="D9" s="9">
        <v>71024.10000000002</v>
      </c>
      <c r="E9" s="9">
        <v>131147.62500000003</v>
      </c>
    </row>
    <row r="10" spans="1:5" x14ac:dyDescent="0.3">
      <c r="A10" s="2" t="s">
        <v>222</v>
      </c>
      <c r="B10" s="9">
        <v>47101.32</v>
      </c>
      <c r="C10" s="9">
        <v>33720.54</v>
      </c>
      <c r="D10" s="9">
        <v>40374.075000000004</v>
      </c>
      <c r="E10" s="9">
        <v>121195.935</v>
      </c>
    </row>
    <row r="11" spans="1:5" x14ac:dyDescent="0.3">
      <c r="A11" s="2" t="s">
        <v>237</v>
      </c>
      <c r="B11" s="9">
        <v>243762.01500000001</v>
      </c>
      <c r="C11" s="9">
        <v>213337.94999999998</v>
      </c>
      <c r="D11" s="9">
        <v>294384.93000000005</v>
      </c>
      <c r="E11" s="9">
        <v>751484.89500000002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Randunu Pathirannehelage, Thilini Bhagya</dc:creator>
  <cp:lastModifiedBy>Dax Babaria</cp:lastModifiedBy>
  <dcterms:created xsi:type="dcterms:W3CDTF">2021-08-18T05:40:21Z</dcterms:created>
  <dcterms:modified xsi:type="dcterms:W3CDTF">2025-08-14T22:00:27Z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2025-08-06T03:09:12Z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1b1a1be5-2fe3-4a80-8d5d-84657025a75b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